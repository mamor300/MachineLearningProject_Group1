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amor/MachineLearningProject_Group1/RandomForest/"/>
    </mc:Choice>
  </mc:AlternateContent>
  <xr:revisionPtr revIDLastSave="0" documentId="13_ncr:1_{4B84F801-212C-7B4C-9ACB-AAE95714B67B}" xr6:coauthVersionLast="47" xr6:coauthVersionMax="47" xr10:uidLastSave="{00000000-0000-0000-0000-000000000000}"/>
  <bookViews>
    <workbookView xWindow="440" yWindow="1020" windowWidth="25040" windowHeight="14100" activeTab="5" xr2:uid="{70756974-4A70-6B43-AB54-573D8936E951}"/>
  </bookViews>
  <sheets>
    <sheet name="Tree" sheetId="3" r:id="rId1"/>
    <sheet name="RandomForest" sheetId="7" r:id="rId2"/>
    <sheet name="xGboost" sheetId="5" r:id="rId3"/>
    <sheet name="CatBoost" sheetId="6" r:id="rId4"/>
    <sheet name="Lasso" sheetId="4" r:id="rId5"/>
    <sheet name="Logit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C17" i="2"/>
  <c r="E14" i="5"/>
  <c r="E15" i="5" s="1"/>
  <c r="D14" i="5"/>
  <c r="C14" i="5"/>
  <c r="F12" i="5"/>
  <c r="E6" i="5"/>
  <c r="E7" i="5" s="1"/>
  <c r="D6" i="5"/>
  <c r="C6" i="5"/>
  <c r="F4" i="5"/>
  <c r="E14" i="6"/>
  <c r="E15" i="6" s="1"/>
  <c r="D14" i="6"/>
  <c r="C14" i="6"/>
  <c r="F12" i="6"/>
  <c r="E6" i="6"/>
  <c r="E7" i="6" s="1"/>
  <c r="D6" i="6"/>
  <c r="C6" i="6"/>
  <c r="F4" i="6"/>
  <c r="E14" i="7"/>
  <c r="E15" i="7" s="1"/>
  <c r="F4" i="4"/>
  <c r="D14" i="7"/>
  <c r="C14" i="7"/>
  <c r="F12" i="7"/>
  <c r="E6" i="7"/>
  <c r="E7" i="7" s="1"/>
  <c r="D6" i="7"/>
  <c r="C6" i="7"/>
  <c r="F4" i="7"/>
  <c r="E14" i="4"/>
  <c r="E15" i="4" s="1"/>
  <c r="D14" i="4"/>
  <c r="C14" i="4"/>
  <c r="F12" i="4"/>
  <c r="E6" i="4"/>
  <c r="E7" i="4" s="1"/>
  <c r="D6" i="4"/>
  <c r="C6" i="4"/>
  <c r="D6" i="2"/>
  <c r="C6" i="2"/>
  <c r="F4" i="2"/>
  <c r="F12" i="2"/>
  <c r="E14" i="2"/>
  <c r="E15" i="2" s="1"/>
  <c r="D14" i="2"/>
  <c r="C14" i="2"/>
  <c r="E6" i="2"/>
  <c r="E7" i="2" s="1"/>
</calcChain>
</file>

<file path=xl/sharedStrings.xml><?xml version="1.0" encoding="utf-8"?>
<sst xmlns="http://schemas.openxmlformats.org/spreadsheetml/2006/main" count="60" uniqueCount="10">
  <si>
    <t xml:space="preserve">          Reference</t>
  </si>
  <si>
    <t>Prediction</t>
  </si>
  <si>
    <t>Total Error</t>
  </si>
  <si>
    <t xml:space="preserve">Test - </t>
  </si>
  <si>
    <t>False Neg</t>
  </si>
  <si>
    <t>False Pos.</t>
  </si>
  <si>
    <t>Test -  Non older americans</t>
  </si>
  <si>
    <t>Test - Overall Data</t>
  </si>
  <si>
    <t>Test - is_older_american</t>
  </si>
  <si>
    <t>Test - Full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</si>
</sst>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00000000000%"/>
    <numFmt numFmtId="166" formatCode="0.0000000000000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64" fontId="0" fillId="0" borderId="0" xfId="1" applyNumberFormat="1" applyFont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164" fontId="0" fillId="0" borderId="0" xfId="0" applyNumberFormat="1"/>
    <xf numFmtId="1" fontId="0" fillId="3" borderId="1" xfId="0" applyNumberFormat="1" applyFill="1" applyBorder="1"/>
    <xf numFmtId="165" fontId="0" fillId="0" borderId="0" xfId="0" applyNumberFormat="1"/>
    <xf numFmtId="166" fontId="0" fillId="0" borderId="0" xfId="0" applyNumberFormat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91954-EDEB-F848-A538-5BC73681F1AA}">
  <dimension ref="A1:F13"/>
  <sheetViews>
    <sheetView workbookViewId="0">
      <selection activeCell="F12" sqref="F12"/>
    </sheetView>
  </sheetViews>
  <sheetFormatPr baseColWidth="10" defaultRowHeight="16" x14ac:dyDescent="0.2"/>
  <cols>
    <col min="6" max="6" width="20.33203125" bestFit="1" customWidth="1"/>
  </cols>
  <sheetData>
    <row r="1" spans="1:6" x14ac:dyDescent="0.2">
      <c r="A1" s="16"/>
      <c r="B1" s="16"/>
      <c r="C1" s="16"/>
      <c r="D1" s="16"/>
      <c r="E1" s="16"/>
    </row>
    <row r="5" spans="1:6" x14ac:dyDescent="0.2">
      <c r="B5" s="1"/>
      <c r="C5" s="1"/>
      <c r="D5" s="1"/>
      <c r="F5" s="11"/>
    </row>
    <row r="6" spans="1:6" x14ac:dyDescent="0.2">
      <c r="D6" s="1"/>
    </row>
    <row r="8" spans="1:6" x14ac:dyDescent="0.2">
      <c r="A8" s="16"/>
      <c r="B8" s="16"/>
      <c r="C8" s="16"/>
      <c r="D8" s="16"/>
      <c r="E8" s="16"/>
    </row>
    <row r="12" spans="1:6" x14ac:dyDescent="0.2">
      <c r="B12" s="1"/>
      <c r="C12" s="1"/>
      <c r="D12" s="1"/>
    </row>
    <row r="13" spans="1:6" x14ac:dyDescent="0.2">
      <c r="D13" s="1"/>
    </row>
  </sheetData>
  <mergeCells count="2">
    <mergeCell ref="A1:E1"/>
    <mergeCell ref="A8:E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2490A-0D90-7843-B387-E7186D2304A2}">
  <dimension ref="A1:H15"/>
  <sheetViews>
    <sheetView workbookViewId="0">
      <selection activeCell="D13" sqref="A10:D13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3" t="s">
        <v>7</v>
      </c>
      <c r="B1" s="13"/>
      <c r="C1" s="13"/>
      <c r="D1" s="13"/>
    </row>
    <row r="2" spans="1:8" x14ac:dyDescent="0.2">
      <c r="A2" s="5"/>
      <c r="B2" s="6"/>
      <c r="C2" s="14" t="s">
        <v>0</v>
      </c>
      <c r="D2" s="14"/>
    </row>
    <row r="3" spans="1:8" x14ac:dyDescent="0.2">
      <c r="A3" s="7"/>
      <c r="B3" s="8"/>
      <c r="C3" s="2">
        <v>0</v>
      </c>
      <c r="D3" s="2">
        <v>1</v>
      </c>
    </row>
    <row r="4" spans="1:8" x14ac:dyDescent="0.2">
      <c r="A4" s="15" t="s">
        <v>1</v>
      </c>
      <c r="B4" s="2">
        <v>0</v>
      </c>
      <c r="C4" s="3">
        <v>22383</v>
      </c>
      <c r="D4" s="4">
        <v>6469</v>
      </c>
      <c r="F4">
        <f>SUM(C4:D5)</f>
        <v>31070</v>
      </c>
    </row>
    <row r="5" spans="1:8" x14ac:dyDescent="0.2">
      <c r="A5" s="15"/>
      <c r="B5" s="2">
        <v>1</v>
      </c>
      <c r="C5" s="4">
        <v>403</v>
      </c>
      <c r="D5" s="3">
        <v>1815</v>
      </c>
    </row>
    <row r="6" spans="1:8" x14ac:dyDescent="0.2">
      <c r="C6" s="1">
        <f>C5/SUM(C4:C5)</f>
        <v>1.7686298604406216E-2</v>
      </c>
      <c r="D6" s="1">
        <f>D4/SUM(D4:D5)</f>
        <v>0.78090294543698702</v>
      </c>
      <c r="E6" s="1">
        <f>(C5+D4)/SUM(C4:D5)</f>
        <v>0.22117798519472159</v>
      </c>
      <c r="F6" t="s">
        <v>2</v>
      </c>
    </row>
    <row r="7" spans="1:8" x14ac:dyDescent="0.2">
      <c r="C7" t="s">
        <v>5</v>
      </c>
      <c r="D7" t="s">
        <v>4</v>
      </c>
      <c r="E7" s="9">
        <f>1-E6</f>
        <v>0.77882201480527846</v>
      </c>
      <c r="H7" s="12"/>
    </row>
    <row r="9" spans="1:8" x14ac:dyDescent="0.2">
      <c r="A9" s="13" t="s">
        <v>8</v>
      </c>
      <c r="B9" s="13"/>
      <c r="C9" s="13"/>
      <c r="D9" s="13"/>
    </row>
    <row r="10" spans="1:8" x14ac:dyDescent="0.2">
      <c r="A10" s="5"/>
      <c r="B10" s="6"/>
      <c r="C10" s="14" t="s">
        <v>0</v>
      </c>
      <c r="D10" s="14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5" t="s">
        <v>1</v>
      </c>
      <c r="B12" s="2">
        <v>0</v>
      </c>
      <c r="C12" s="3">
        <v>892</v>
      </c>
      <c r="D12" s="4">
        <v>221</v>
      </c>
      <c r="F12">
        <f>SUM(C12:D13)</f>
        <v>1158</v>
      </c>
    </row>
    <row r="13" spans="1:8" x14ac:dyDescent="0.2">
      <c r="A13" s="15"/>
      <c r="B13" s="2">
        <v>1</v>
      </c>
      <c r="C13" s="4">
        <v>7</v>
      </c>
      <c r="D13" s="3">
        <v>38</v>
      </c>
    </row>
    <row r="14" spans="1:8" x14ac:dyDescent="0.2">
      <c r="C14" s="1">
        <f>C13/SUM(C12:C13)</f>
        <v>7.7864293659621799E-3</v>
      </c>
      <c r="D14" s="1">
        <f>D12/SUM(D12:D13)</f>
        <v>0.85328185328185324</v>
      </c>
      <c r="E14" s="1">
        <f>(C13+D12)/SUM(C12:D13)</f>
        <v>0.19689119170984457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0.80310880829015541</v>
      </c>
    </row>
  </sheetData>
  <mergeCells count="6"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643C6-638B-2444-A0E5-8D9E62FB83B8}">
  <dimension ref="A1:F15"/>
  <sheetViews>
    <sheetView workbookViewId="0">
      <selection activeCell="D15" sqref="D15"/>
    </sheetView>
  </sheetViews>
  <sheetFormatPr baseColWidth="10" defaultRowHeight="16" x14ac:dyDescent="0.2"/>
  <sheetData>
    <row r="1" spans="1:6" x14ac:dyDescent="0.2">
      <c r="A1" s="13" t="s">
        <v>3</v>
      </c>
      <c r="B1" s="13"/>
      <c r="C1" s="13"/>
      <c r="D1" s="13"/>
    </row>
    <row r="2" spans="1:6" x14ac:dyDescent="0.2">
      <c r="A2" s="5"/>
      <c r="B2" s="6"/>
      <c r="C2" s="14" t="s">
        <v>0</v>
      </c>
      <c r="D2" s="14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5" t="s">
        <v>1</v>
      </c>
      <c r="B4" s="2">
        <v>0</v>
      </c>
      <c r="C4" s="3">
        <v>21314</v>
      </c>
      <c r="D4" s="4">
        <v>4574</v>
      </c>
      <c r="F4">
        <f>SUM(C4:D5)</f>
        <v>31070</v>
      </c>
    </row>
    <row r="5" spans="1:6" x14ac:dyDescent="0.2">
      <c r="A5" s="15"/>
      <c r="B5" s="2">
        <v>1</v>
      </c>
      <c r="C5" s="4">
        <v>1472</v>
      </c>
      <c r="D5" s="3">
        <v>3710</v>
      </c>
    </row>
    <row r="6" spans="1:6" x14ac:dyDescent="0.2">
      <c r="C6" s="1">
        <f>C5/SUM(C4:C5)</f>
        <v>6.4601070832967608E-2</v>
      </c>
      <c r="D6" s="1">
        <f>D4/SUM(D4:D5)</f>
        <v>0.55214872042491547</v>
      </c>
      <c r="E6" s="1">
        <f>(C5+D4)/SUM(C4:D5)</f>
        <v>0.19459285484390088</v>
      </c>
      <c r="F6" t="s">
        <v>2</v>
      </c>
    </row>
    <row r="7" spans="1:6" x14ac:dyDescent="0.2">
      <c r="C7" t="s">
        <v>5</v>
      </c>
      <c r="D7" t="s">
        <v>4</v>
      </c>
      <c r="E7" s="9">
        <f>1-E6</f>
        <v>0.80540714515609912</v>
      </c>
    </row>
    <row r="9" spans="1:6" x14ac:dyDescent="0.2">
      <c r="A9" s="13" t="s">
        <v>6</v>
      </c>
      <c r="B9" s="13"/>
      <c r="C9" s="13"/>
      <c r="D9" s="13"/>
    </row>
    <row r="10" spans="1:6" x14ac:dyDescent="0.2">
      <c r="A10" s="5"/>
      <c r="B10" s="6"/>
      <c r="C10" s="14" t="s">
        <v>0</v>
      </c>
      <c r="D10" s="14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5" t="s">
        <v>1</v>
      </c>
      <c r="B12" s="2">
        <v>0</v>
      </c>
      <c r="C12" s="3">
        <v>861</v>
      </c>
      <c r="D12" s="4">
        <v>183</v>
      </c>
      <c r="F12">
        <f>SUM(C12:D13)</f>
        <v>1158</v>
      </c>
    </row>
    <row r="13" spans="1:6" x14ac:dyDescent="0.2">
      <c r="A13" s="15"/>
      <c r="B13" s="2">
        <v>1</v>
      </c>
      <c r="C13" s="4">
        <v>38</v>
      </c>
      <c r="D13" s="10">
        <v>76</v>
      </c>
    </row>
    <row r="14" spans="1:6" x14ac:dyDescent="0.2">
      <c r="C14" s="1">
        <f>C13/SUM(C12:C13)</f>
        <v>4.2269187986651836E-2</v>
      </c>
      <c r="D14" s="1">
        <f>D12/SUM(D12:D13)</f>
        <v>0.70656370656370659</v>
      </c>
      <c r="E14" s="1">
        <f>(C13+D12)/SUM(C12:D13)</f>
        <v>0.19084628670120898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0.80915371329879104</v>
      </c>
    </row>
  </sheetData>
  <mergeCells count="6"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B164-21FC-2749-81C6-202A679DB7EF}">
  <dimension ref="A1:F15"/>
  <sheetViews>
    <sheetView workbookViewId="0">
      <selection activeCell="C14" sqref="C14"/>
    </sheetView>
  </sheetViews>
  <sheetFormatPr baseColWidth="10" defaultRowHeight="16" x14ac:dyDescent="0.2"/>
  <sheetData>
    <row r="1" spans="1:6" x14ac:dyDescent="0.2">
      <c r="A1" s="13" t="s">
        <v>3</v>
      </c>
      <c r="B1" s="13"/>
      <c r="C1" s="13"/>
      <c r="D1" s="13"/>
    </row>
    <row r="2" spans="1:6" x14ac:dyDescent="0.2">
      <c r="A2" s="5"/>
      <c r="B2" s="6"/>
      <c r="C2" s="14" t="s">
        <v>0</v>
      </c>
      <c r="D2" s="14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5" t="s">
        <v>1</v>
      </c>
      <c r="B4" s="2">
        <v>0</v>
      </c>
      <c r="C4" s="3">
        <v>21314</v>
      </c>
      <c r="D4" s="4">
        <v>4574</v>
      </c>
      <c r="F4">
        <f>SUM(C4:D5)</f>
        <v>31070</v>
      </c>
    </row>
    <row r="5" spans="1:6" x14ac:dyDescent="0.2">
      <c r="A5" s="15"/>
      <c r="B5" s="2">
        <v>1</v>
      </c>
      <c r="C5" s="4">
        <v>1472</v>
      </c>
      <c r="D5" s="3">
        <v>3710</v>
      </c>
    </row>
    <row r="6" spans="1:6" x14ac:dyDescent="0.2">
      <c r="C6" s="1">
        <f>C5/SUM(C4:C5)</f>
        <v>6.4601070832967608E-2</v>
      </c>
      <c r="D6" s="1">
        <f>D4/SUM(D4:D5)</f>
        <v>0.55214872042491547</v>
      </c>
      <c r="E6" s="1">
        <f>(C5+D4)/SUM(C4:D5)</f>
        <v>0.19459285484390088</v>
      </c>
      <c r="F6" t="s">
        <v>2</v>
      </c>
    </row>
    <row r="7" spans="1:6" x14ac:dyDescent="0.2">
      <c r="C7" t="s">
        <v>5</v>
      </c>
      <c r="D7" t="s">
        <v>4</v>
      </c>
      <c r="E7" s="9">
        <f>1-E6</f>
        <v>0.80540714515609912</v>
      </c>
    </row>
    <row r="9" spans="1:6" x14ac:dyDescent="0.2">
      <c r="A9" s="13" t="s">
        <v>6</v>
      </c>
      <c r="B9" s="13"/>
      <c r="C9" s="13"/>
      <c r="D9" s="13"/>
    </row>
    <row r="10" spans="1:6" x14ac:dyDescent="0.2">
      <c r="A10" s="5"/>
      <c r="B10" s="6"/>
      <c r="C10" s="14" t="s">
        <v>0</v>
      </c>
      <c r="D10" s="14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5" t="s">
        <v>1</v>
      </c>
      <c r="B12" s="2">
        <v>0</v>
      </c>
      <c r="C12" s="3">
        <v>861</v>
      </c>
      <c r="D12" s="4">
        <v>180</v>
      </c>
      <c r="F12">
        <f>SUM(C12:D13)</f>
        <v>1158</v>
      </c>
    </row>
    <row r="13" spans="1:6" x14ac:dyDescent="0.2">
      <c r="A13" s="15"/>
      <c r="B13" s="2">
        <v>1</v>
      </c>
      <c r="C13" s="4">
        <v>38</v>
      </c>
      <c r="D13" s="10">
        <v>79</v>
      </c>
    </row>
    <row r="14" spans="1:6" x14ac:dyDescent="0.2">
      <c r="C14" s="1">
        <f>C13/SUM(C12:C13)</f>
        <v>4.2269187986651836E-2</v>
      </c>
      <c r="D14" s="1">
        <f>D12/SUM(D12:D13)</f>
        <v>0.69498069498069504</v>
      </c>
      <c r="E14" s="1">
        <f>(C13+D12)/SUM(C12:D13)</f>
        <v>0.18825561312607944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0.81174438687392059</v>
      </c>
    </row>
  </sheetData>
  <mergeCells count="6"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6E7A-24EB-554D-8AE4-2B2BE8923685}">
  <dimension ref="A1:F15"/>
  <sheetViews>
    <sheetView workbookViewId="0">
      <selection activeCell="A2" sqref="A2"/>
    </sheetView>
  </sheetViews>
  <sheetFormatPr baseColWidth="10" defaultRowHeight="16" x14ac:dyDescent="0.2"/>
  <sheetData>
    <row r="1" spans="1:6" x14ac:dyDescent="0.2">
      <c r="A1" s="13" t="s">
        <v>9</v>
      </c>
      <c r="B1" s="13"/>
      <c r="C1" s="13"/>
      <c r="D1" s="13"/>
    </row>
    <row r="2" spans="1:6" x14ac:dyDescent="0.2">
      <c r="A2" s="5"/>
      <c r="B2" s="6"/>
      <c r="C2" s="14" t="s">
        <v>0</v>
      </c>
      <c r="D2" s="14"/>
    </row>
    <row r="3" spans="1:6" x14ac:dyDescent="0.2">
      <c r="A3" s="7"/>
      <c r="B3" s="8"/>
      <c r="C3" s="2">
        <v>0</v>
      </c>
      <c r="D3" s="2">
        <v>1</v>
      </c>
    </row>
    <row r="4" spans="1:6" x14ac:dyDescent="0.2">
      <c r="A4" s="15" t="s">
        <v>1</v>
      </c>
      <c r="B4" s="2">
        <v>0</v>
      </c>
      <c r="C4" s="3">
        <v>21203</v>
      </c>
      <c r="D4" s="4">
        <v>5204</v>
      </c>
      <c r="F4">
        <f>SUM(C4:D5)</f>
        <v>31070</v>
      </c>
    </row>
    <row r="5" spans="1:6" x14ac:dyDescent="0.2">
      <c r="A5" s="15"/>
      <c r="B5" s="2">
        <v>1</v>
      </c>
      <c r="C5" s="4">
        <v>1583</v>
      </c>
      <c r="D5" s="3">
        <v>3080</v>
      </c>
    </row>
    <row r="6" spans="1:6" x14ac:dyDescent="0.2">
      <c r="C6" s="1">
        <f>C5/SUM(C4:C5)</f>
        <v>6.9472483103660138E-2</v>
      </c>
      <c r="D6" s="1">
        <f>D4/SUM(D4:D5)</f>
        <v>0.62819893771125057</v>
      </c>
      <c r="E6" s="1">
        <f>(C5+D4)/SUM(C4:D5)</f>
        <v>0.2184422272288381</v>
      </c>
      <c r="F6" t="s">
        <v>2</v>
      </c>
    </row>
    <row r="7" spans="1:6" x14ac:dyDescent="0.2">
      <c r="C7" t="s">
        <v>5</v>
      </c>
      <c r="D7" t="s">
        <v>4</v>
      </c>
      <c r="E7" s="9">
        <f>1-E6</f>
        <v>0.7815577727711619</v>
      </c>
    </row>
    <row r="9" spans="1:6" x14ac:dyDescent="0.2">
      <c r="A9" s="13" t="s">
        <v>6</v>
      </c>
      <c r="B9" s="13"/>
      <c r="C9" s="13"/>
      <c r="D9" s="13"/>
    </row>
    <row r="10" spans="1:6" x14ac:dyDescent="0.2">
      <c r="A10" s="5"/>
      <c r="B10" s="6"/>
      <c r="C10" s="14" t="s">
        <v>0</v>
      </c>
      <c r="D10" s="14"/>
    </row>
    <row r="11" spans="1:6" x14ac:dyDescent="0.2">
      <c r="A11" s="7"/>
      <c r="B11" s="8"/>
      <c r="C11" s="2">
        <v>0</v>
      </c>
      <c r="D11" s="2">
        <v>1</v>
      </c>
    </row>
    <row r="12" spans="1:6" x14ac:dyDescent="0.2">
      <c r="A12" s="15" t="s">
        <v>1</v>
      </c>
      <c r="B12" s="2">
        <v>0</v>
      </c>
      <c r="C12" s="3">
        <v>20367</v>
      </c>
      <c r="D12" s="4">
        <v>1520</v>
      </c>
      <c r="F12">
        <f>SUM(C12:D13)</f>
        <v>29912</v>
      </c>
    </row>
    <row r="13" spans="1:6" x14ac:dyDescent="0.2">
      <c r="A13" s="15"/>
      <c r="B13" s="2">
        <v>1</v>
      </c>
      <c r="C13" s="4">
        <v>4946</v>
      </c>
      <c r="D13" s="10">
        <v>3079</v>
      </c>
    </row>
    <row r="14" spans="1:6" x14ac:dyDescent="0.2">
      <c r="C14" s="1">
        <f>C13/SUM(C12:C13)</f>
        <v>0.19539367123612372</v>
      </c>
      <c r="D14" s="1">
        <f>D12/SUM(D12:D13)</f>
        <v>0.33050663187649487</v>
      </c>
      <c r="E14" s="1">
        <f>(C13+D12)/SUM(C12:D13)</f>
        <v>0.21616742444503878</v>
      </c>
      <c r="F14" t="s">
        <v>2</v>
      </c>
    </row>
    <row r="15" spans="1:6" x14ac:dyDescent="0.2">
      <c r="C15" t="s">
        <v>5</v>
      </c>
      <c r="D15" t="s">
        <v>4</v>
      </c>
      <c r="E15" s="9">
        <f>1-E14</f>
        <v>0.78383257555496122</v>
      </c>
    </row>
  </sheetData>
  <mergeCells count="6"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BDEE-21FC-854D-930A-6DB3F5A7C024}">
  <dimension ref="A1:H17"/>
  <sheetViews>
    <sheetView tabSelected="1" workbookViewId="0">
      <selection activeCell="D6" sqref="D6"/>
    </sheetView>
  </sheetViews>
  <sheetFormatPr baseColWidth="10" defaultRowHeight="16" x14ac:dyDescent="0.2"/>
  <cols>
    <col min="8" max="8" width="19.33203125" bestFit="1" customWidth="1"/>
  </cols>
  <sheetData>
    <row r="1" spans="1:8" x14ac:dyDescent="0.2">
      <c r="A1" s="13" t="s">
        <v>7</v>
      </c>
      <c r="B1" s="13"/>
      <c r="C1" s="13"/>
      <c r="D1" s="13"/>
    </row>
    <row r="2" spans="1:8" x14ac:dyDescent="0.2">
      <c r="A2" s="5"/>
      <c r="B2" s="6"/>
      <c r="C2" s="14" t="s">
        <v>0</v>
      </c>
      <c r="D2" s="14"/>
    </row>
    <row r="3" spans="1:8" x14ac:dyDescent="0.2">
      <c r="A3" s="7"/>
      <c r="B3" s="8"/>
      <c r="C3" s="2">
        <v>0</v>
      </c>
      <c r="D3" s="2">
        <v>1</v>
      </c>
    </row>
    <row r="4" spans="1:8" x14ac:dyDescent="0.2">
      <c r="A4" s="15" t="s">
        <v>1</v>
      </c>
      <c r="B4" s="2">
        <v>0</v>
      </c>
      <c r="C4" s="3">
        <v>21203</v>
      </c>
      <c r="D4" s="4">
        <v>5204</v>
      </c>
      <c r="F4">
        <f>SUM(C4:D5)</f>
        <v>31070</v>
      </c>
    </row>
    <row r="5" spans="1:8" x14ac:dyDescent="0.2">
      <c r="A5" s="15"/>
      <c r="B5" s="2">
        <v>1</v>
      </c>
      <c r="C5" s="4">
        <v>1583</v>
      </c>
      <c r="D5" s="3">
        <v>3080</v>
      </c>
    </row>
    <row r="6" spans="1:8" x14ac:dyDescent="0.2">
      <c r="C6" s="1">
        <f>C5/SUM(C4:C5)</f>
        <v>6.9472483103660138E-2</v>
      </c>
      <c r="D6" s="1">
        <f>D4/SUM(D4:D5)</f>
        <v>0.62819893771125057</v>
      </c>
      <c r="E6" s="1">
        <f>(C5+D4)/SUM(C4:D5)</f>
        <v>0.2184422272288381</v>
      </c>
      <c r="F6" t="s">
        <v>2</v>
      </c>
    </row>
    <row r="7" spans="1:8" x14ac:dyDescent="0.2">
      <c r="C7" t="s">
        <v>5</v>
      </c>
      <c r="D7" t="s">
        <v>4</v>
      </c>
      <c r="E7" s="9">
        <f>1-E6</f>
        <v>0.7815577727711619</v>
      </c>
      <c r="H7" s="12"/>
    </row>
    <row r="9" spans="1:8" x14ac:dyDescent="0.2">
      <c r="A9" s="13" t="s">
        <v>8</v>
      </c>
      <c r="B9" s="13"/>
      <c r="C9" s="13"/>
      <c r="D9" s="13"/>
    </row>
    <row r="10" spans="1:8" x14ac:dyDescent="0.2">
      <c r="A10" s="5"/>
      <c r="B10" s="6"/>
      <c r="C10" s="14" t="s">
        <v>0</v>
      </c>
      <c r="D10" s="14"/>
    </row>
    <row r="11" spans="1:8" x14ac:dyDescent="0.2">
      <c r="A11" s="7"/>
      <c r="B11" s="8"/>
      <c r="C11" s="2">
        <v>0</v>
      </c>
      <c r="D11" s="2">
        <v>1</v>
      </c>
    </row>
    <row r="12" spans="1:8" x14ac:dyDescent="0.2">
      <c r="A12" s="15" t="s">
        <v>1</v>
      </c>
      <c r="B12" s="2">
        <v>0</v>
      </c>
      <c r="C12" s="3">
        <v>850</v>
      </c>
      <c r="D12" s="4">
        <v>197</v>
      </c>
      <c r="F12">
        <f>SUM(C12:D13)</f>
        <v>1158</v>
      </c>
    </row>
    <row r="13" spans="1:8" x14ac:dyDescent="0.2">
      <c r="A13" s="15"/>
      <c r="B13" s="2">
        <v>1</v>
      </c>
      <c r="C13" s="4">
        <v>49</v>
      </c>
      <c r="D13" s="3">
        <v>62</v>
      </c>
    </row>
    <row r="14" spans="1:8" x14ac:dyDescent="0.2">
      <c r="C14" s="1">
        <f>C13/SUM(C12:C13)</f>
        <v>5.4505005561735265E-2</v>
      </c>
      <c r="D14" s="1">
        <f>D12/SUM(D12:D13)</f>
        <v>0.76061776061776065</v>
      </c>
      <c r="E14" s="1">
        <f>(C13+D12)/SUM(C12:D13)</f>
        <v>0.21243523316062177</v>
      </c>
      <c r="F14" t="s">
        <v>2</v>
      </c>
    </row>
    <row r="15" spans="1:8" x14ac:dyDescent="0.2">
      <c r="C15" t="s">
        <v>5</v>
      </c>
      <c r="D15" t="s">
        <v>4</v>
      </c>
      <c r="E15" s="9">
        <f>1-E14</f>
        <v>0.78756476683937826</v>
      </c>
    </row>
    <row r="17" spans="3:4" x14ac:dyDescent="0.2">
      <c r="C17">
        <f>SUM(C12:C13)</f>
        <v>899</v>
      </c>
      <c r="D17">
        <f>SUM(D12:D13)</f>
        <v>259</v>
      </c>
    </row>
  </sheetData>
  <mergeCells count="6">
    <mergeCell ref="A1:D1"/>
    <mergeCell ref="C2:D2"/>
    <mergeCell ref="A4:A5"/>
    <mergeCell ref="A9:D9"/>
    <mergeCell ref="C10:D10"/>
    <mergeCell ref="A12:A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Tree</vt:lpstr>
      <vt:lpstr>RandomForest</vt:lpstr>
      <vt:lpstr>xGboost</vt:lpstr>
      <vt:lpstr>CatBoost</vt:lpstr>
      <vt:lpstr>Lasso</vt:lpstr>
      <vt:lpstr>Logit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Amor</dc:creator>
  <cp:lastModifiedBy>Matt Amor</cp:lastModifiedBy>
  <dcterms:created xsi:type="dcterms:W3CDTF">2026-04-21T19:42:39Z</dcterms:created>
  <dcterms:modified xsi:type="dcterms:W3CDTF">2026-04-24T19:46:10Z</dcterms:modified>
</cp:coreProperties>
</file>