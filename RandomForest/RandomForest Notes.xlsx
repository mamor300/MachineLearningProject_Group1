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ttamor/MachineLearningProject_Group1/RandomForest/"/>
    </mc:Choice>
  </mc:AlternateContent>
  <xr:revisionPtr revIDLastSave="0" documentId="13_ncr:1_{4B70FBE2-3244-254A-A4BB-75874C5A0CEC}" xr6:coauthVersionLast="47" xr6:coauthVersionMax="47" xr10:uidLastSave="{00000000-0000-0000-0000-000000000000}"/>
  <bookViews>
    <workbookView xWindow="440" yWindow="1020" windowWidth="35860" windowHeight="17480" xr2:uid="{70756974-4A70-6B43-AB54-573D8936E951}"/>
  </bookViews>
  <sheets>
    <sheet name="Tree" sheetId="3" r:id="rId1"/>
    <sheet name="RandomForest" sheetId="7" r:id="rId2"/>
    <sheet name="xGboost" sheetId="5" r:id="rId3"/>
    <sheet name="CatBoost" sheetId="6" r:id="rId4"/>
    <sheet name="Lasso" sheetId="4" r:id="rId5"/>
    <sheet name="Logit" sheetId="2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3" l="1"/>
  <c r="C17" i="3"/>
  <c r="E14" i="3"/>
  <c r="E15" i="3" s="1"/>
  <c r="D14" i="3"/>
  <c r="C14" i="3"/>
  <c r="F12" i="3"/>
  <c r="E6" i="3"/>
  <c r="E7" i="3" s="1"/>
  <c r="D6" i="3"/>
  <c r="C6" i="3"/>
  <c r="F4" i="3"/>
  <c r="D17" i="2"/>
  <c r="C17" i="2"/>
  <c r="E14" i="5"/>
  <c r="E15" i="5" s="1"/>
  <c r="D14" i="5"/>
  <c r="C14" i="5"/>
  <c r="F12" i="5"/>
  <c r="E6" i="5"/>
  <c r="E7" i="5" s="1"/>
  <c r="D6" i="5"/>
  <c r="C6" i="5"/>
  <c r="F4" i="5"/>
  <c r="E14" i="6"/>
  <c r="E15" i="6" s="1"/>
  <c r="D14" i="6"/>
  <c r="C14" i="6"/>
  <c r="F12" i="6"/>
  <c r="E6" i="6"/>
  <c r="E7" i="6" s="1"/>
  <c r="D6" i="6"/>
  <c r="C6" i="6"/>
  <c r="F4" i="6"/>
  <c r="E14" i="7"/>
  <c r="E15" i="7" s="1"/>
  <c r="F4" i="4"/>
  <c r="D14" i="7"/>
  <c r="C14" i="7"/>
  <c r="F12" i="7"/>
  <c r="E6" i="7"/>
  <c r="E7" i="7" s="1"/>
  <c r="D6" i="7"/>
  <c r="C6" i="7"/>
  <c r="F4" i="7"/>
  <c r="E14" i="4"/>
  <c r="E15" i="4" s="1"/>
  <c r="D14" i="4"/>
  <c r="C14" i="4"/>
  <c r="F12" i="4"/>
  <c r="E6" i="4"/>
  <c r="E7" i="4" s="1"/>
  <c r="D6" i="4"/>
  <c r="C6" i="4"/>
  <c r="D6" i="2"/>
  <c r="C6" i="2"/>
  <c r="F4" i="2"/>
  <c r="F12" i="2"/>
  <c r="E14" i="2"/>
  <c r="E15" i="2" s="1"/>
  <c r="D14" i="2"/>
  <c r="C14" i="2"/>
  <c r="E6" i="2"/>
  <c r="E7" i="2" s="1"/>
</calcChain>
</file>

<file path=xl/sharedStrings.xml><?xml version="1.0" encoding="utf-8"?>
<sst xmlns="http://schemas.openxmlformats.org/spreadsheetml/2006/main" count="72" uniqueCount="10">
  <si>
    <t xml:space="preserve">          Reference</t>
  </si>
  <si>
    <t>Prediction</t>
  </si>
  <si>
    <t>Total Error</t>
  </si>
  <si>
    <t xml:space="preserve">Test - </t>
  </si>
  <si>
    <t>False Neg</t>
  </si>
  <si>
    <t>False Pos.</t>
  </si>
  <si>
    <t>Test -  Non older americans</t>
  </si>
  <si>
    <t>Test - Overall Data</t>
  </si>
  <si>
    <t>Test - is_older_american</t>
  </si>
  <si>
    <t>Test - Full Dataset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</si>
</sst>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6" formatCode="0.00000000000000%"/>
  </numFmts>
  <fonts count="2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6">
    <xf numFmtId="0" fontId="0" fillId="0" borderId="0" xfId="0"/>
    <xf numFmtId="164" fontId="0" fillId="0" borderId="0" xfId="1" applyNumberFormat="1" applyFont="1"/>
    <xf numFmtId="0" fontId="0" fillId="0" borderId="1" xfId="0" applyBorder="1"/>
    <xf numFmtId="0" fontId="0" fillId="3" borderId="1" xfId="0" applyFill="1" applyBorder="1"/>
    <xf numFmtId="0" fontId="0" fillId="4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0" xfId="0" applyFill="1"/>
    <xf numFmtId="164" fontId="0" fillId="0" borderId="0" xfId="0" applyNumberFormat="1"/>
    <xf numFmtId="1" fontId="0" fillId="3" borderId="1" xfId="0" applyNumberFormat="1" applyFill="1" applyBorder="1"/>
    <xf numFmtId="166" fontId="0" fillId="0" borderId="0" xfId="0" applyNumberFormat="1"/>
    <xf numFmtId="0" fontId="0" fillId="0" borderId="5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10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D91954-EDEB-F848-A538-5BC73681F1AA}">
  <dimension ref="A1:F17"/>
  <sheetViews>
    <sheetView tabSelected="1" workbookViewId="0">
      <selection activeCell="E7" sqref="E7"/>
    </sheetView>
  </sheetViews>
  <sheetFormatPr baseColWidth="10" defaultRowHeight="16" x14ac:dyDescent="0.2"/>
  <cols>
    <col min="6" max="6" width="20.33203125" bestFit="1" customWidth="1"/>
  </cols>
  <sheetData>
    <row r="1" spans="1:6" x14ac:dyDescent="0.2">
      <c r="A1" s="12" t="s">
        <v>7</v>
      </c>
      <c r="B1" s="12"/>
      <c r="C1" s="12"/>
      <c r="D1" s="12"/>
    </row>
    <row r="2" spans="1:6" x14ac:dyDescent="0.2">
      <c r="A2" s="5"/>
      <c r="B2" s="6"/>
      <c r="C2" s="13" t="s">
        <v>0</v>
      </c>
      <c r="D2" s="13"/>
    </row>
    <row r="3" spans="1:6" x14ac:dyDescent="0.2">
      <c r="A3" s="7"/>
      <c r="B3" s="8"/>
      <c r="C3" s="2">
        <v>0</v>
      </c>
      <c r="D3" s="2">
        <v>1</v>
      </c>
    </row>
    <row r="4" spans="1:6" x14ac:dyDescent="0.2">
      <c r="A4" s="14" t="s">
        <v>1</v>
      </c>
      <c r="B4" s="2">
        <v>0</v>
      </c>
      <c r="C4" s="3">
        <v>21174</v>
      </c>
      <c r="D4" s="4">
        <v>4919</v>
      </c>
      <c r="F4">
        <f>SUM(C4:D5)</f>
        <v>31070</v>
      </c>
    </row>
    <row r="5" spans="1:6" x14ac:dyDescent="0.2">
      <c r="A5" s="14"/>
      <c r="B5" s="2">
        <v>1</v>
      </c>
      <c r="C5" s="4">
        <v>1612</v>
      </c>
      <c r="D5" s="3">
        <v>3365</v>
      </c>
    </row>
    <row r="6" spans="1:6" x14ac:dyDescent="0.2">
      <c r="C6" s="1">
        <f>C5/SUM(C4:C5)</f>
        <v>7.0745194417624863E-2</v>
      </c>
      <c r="D6" s="1">
        <f>D4/SUM(D4:D5)</f>
        <v>0.59379526798647997</v>
      </c>
      <c r="E6" s="1">
        <f>(C5+D4)/SUM(C4:D5)</f>
        <v>0.21020276794335371</v>
      </c>
      <c r="F6" t="s">
        <v>2</v>
      </c>
    </row>
    <row r="7" spans="1:6" x14ac:dyDescent="0.2">
      <c r="C7" t="s">
        <v>5</v>
      </c>
      <c r="D7" t="s">
        <v>4</v>
      </c>
      <c r="E7" s="15">
        <f>1-E6</f>
        <v>0.78979723205664631</v>
      </c>
    </row>
    <row r="9" spans="1:6" x14ac:dyDescent="0.2">
      <c r="A9" s="12" t="s">
        <v>8</v>
      </c>
      <c r="B9" s="12"/>
      <c r="C9" s="12"/>
      <c r="D9" s="12"/>
    </row>
    <row r="10" spans="1:6" x14ac:dyDescent="0.2">
      <c r="A10" s="5"/>
      <c r="B10" s="6"/>
      <c r="C10" s="13" t="s">
        <v>0</v>
      </c>
      <c r="D10" s="13"/>
    </row>
    <row r="11" spans="1:6" x14ac:dyDescent="0.2">
      <c r="A11" s="7"/>
      <c r="B11" s="8"/>
      <c r="C11" s="2">
        <v>0</v>
      </c>
      <c r="D11" s="2">
        <v>1</v>
      </c>
    </row>
    <row r="12" spans="1:6" x14ac:dyDescent="0.2">
      <c r="A12" s="14" t="s">
        <v>1</v>
      </c>
      <c r="B12" s="2">
        <v>0</v>
      </c>
      <c r="C12" s="3">
        <v>847</v>
      </c>
      <c r="D12" s="4">
        <v>184</v>
      </c>
      <c r="F12">
        <f>SUM(C12:D13)</f>
        <v>1158</v>
      </c>
    </row>
    <row r="13" spans="1:6" x14ac:dyDescent="0.2">
      <c r="A13" s="14"/>
      <c r="B13" s="2">
        <v>1</v>
      </c>
      <c r="C13" s="4">
        <v>52</v>
      </c>
      <c r="D13" s="3">
        <v>75</v>
      </c>
    </row>
    <row r="14" spans="1:6" x14ac:dyDescent="0.2">
      <c r="C14" s="1">
        <f>C13/SUM(C12:C13)</f>
        <v>5.7842046718576193E-2</v>
      </c>
      <c r="D14" s="1">
        <f>D12/SUM(D12:D13)</f>
        <v>0.71042471042471045</v>
      </c>
      <c r="E14" s="1">
        <f>(C13+D12)/SUM(C12:D13)</f>
        <v>0.20379965457685664</v>
      </c>
      <c r="F14" t="s">
        <v>2</v>
      </c>
    </row>
    <row r="15" spans="1:6" x14ac:dyDescent="0.2">
      <c r="C15" t="s">
        <v>5</v>
      </c>
      <c r="D15" t="s">
        <v>4</v>
      </c>
      <c r="E15" s="9">
        <f>1-E14</f>
        <v>0.79620034542314333</v>
      </c>
    </row>
    <row r="17" spans="3:4" x14ac:dyDescent="0.2">
      <c r="C17">
        <f>SUM(C12:C13)</f>
        <v>899</v>
      </c>
      <c r="D17">
        <f>SUM(D12:D13)</f>
        <v>259</v>
      </c>
    </row>
  </sheetData>
  <mergeCells count="6">
    <mergeCell ref="A9:D9"/>
    <mergeCell ref="C10:D10"/>
    <mergeCell ref="A12:A13"/>
    <mergeCell ref="A1:D1"/>
    <mergeCell ref="C2:D2"/>
    <mergeCell ref="A4:A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B2490A-0D90-7843-B387-E7186D2304A2}">
  <dimension ref="A1:H15"/>
  <sheetViews>
    <sheetView workbookViewId="0">
      <selection activeCell="D13" sqref="A10:D13"/>
    </sheetView>
  </sheetViews>
  <sheetFormatPr baseColWidth="10" defaultRowHeight="16" x14ac:dyDescent="0.2"/>
  <cols>
    <col min="8" max="8" width="19.33203125" bestFit="1" customWidth="1"/>
  </cols>
  <sheetData>
    <row r="1" spans="1:8" x14ac:dyDescent="0.2">
      <c r="A1" s="12" t="s">
        <v>7</v>
      </c>
      <c r="B1" s="12"/>
      <c r="C1" s="12"/>
      <c r="D1" s="12"/>
    </row>
    <row r="2" spans="1:8" x14ac:dyDescent="0.2">
      <c r="A2" s="5"/>
      <c r="B2" s="6"/>
      <c r="C2" s="13" t="s">
        <v>0</v>
      </c>
      <c r="D2" s="13"/>
    </row>
    <row r="3" spans="1:8" x14ac:dyDescent="0.2">
      <c r="A3" s="7"/>
      <c r="B3" s="8"/>
      <c r="C3" s="2">
        <v>0</v>
      </c>
      <c r="D3" s="2">
        <v>1</v>
      </c>
    </row>
    <row r="4" spans="1:8" x14ac:dyDescent="0.2">
      <c r="A4" s="14" t="s">
        <v>1</v>
      </c>
      <c r="B4" s="2">
        <v>0</v>
      </c>
      <c r="C4" s="3">
        <v>22383</v>
      </c>
      <c r="D4" s="4">
        <v>6469</v>
      </c>
      <c r="F4">
        <f>SUM(C4:D5)</f>
        <v>31070</v>
      </c>
    </row>
    <row r="5" spans="1:8" x14ac:dyDescent="0.2">
      <c r="A5" s="14"/>
      <c r="B5" s="2">
        <v>1</v>
      </c>
      <c r="C5" s="4">
        <v>403</v>
      </c>
      <c r="D5" s="3">
        <v>1815</v>
      </c>
    </row>
    <row r="6" spans="1:8" x14ac:dyDescent="0.2">
      <c r="C6" s="1">
        <f>C5/SUM(C4:C5)</f>
        <v>1.7686298604406216E-2</v>
      </c>
      <c r="D6" s="1">
        <f>D4/SUM(D4:D5)</f>
        <v>0.78090294543698702</v>
      </c>
      <c r="E6" s="1">
        <f>(C5+D4)/SUM(C4:D5)</f>
        <v>0.22117798519472159</v>
      </c>
      <c r="F6" t="s">
        <v>2</v>
      </c>
    </row>
    <row r="7" spans="1:8" x14ac:dyDescent="0.2">
      <c r="C7" t="s">
        <v>5</v>
      </c>
      <c r="D7" t="s">
        <v>4</v>
      </c>
      <c r="E7" s="9">
        <f>1-E6</f>
        <v>0.77882201480527846</v>
      </c>
      <c r="H7" s="11"/>
    </row>
    <row r="9" spans="1:8" x14ac:dyDescent="0.2">
      <c r="A9" s="12" t="s">
        <v>8</v>
      </c>
      <c r="B9" s="12"/>
      <c r="C9" s="12"/>
      <c r="D9" s="12"/>
    </row>
    <row r="10" spans="1:8" x14ac:dyDescent="0.2">
      <c r="A10" s="5"/>
      <c r="B10" s="6"/>
      <c r="C10" s="13" t="s">
        <v>0</v>
      </c>
      <c r="D10" s="13"/>
    </row>
    <row r="11" spans="1:8" x14ac:dyDescent="0.2">
      <c r="A11" s="7"/>
      <c r="B11" s="8"/>
      <c r="C11" s="2">
        <v>0</v>
      </c>
      <c r="D11" s="2">
        <v>1</v>
      </c>
    </row>
    <row r="12" spans="1:8" x14ac:dyDescent="0.2">
      <c r="A12" s="14" t="s">
        <v>1</v>
      </c>
      <c r="B12" s="2">
        <v>0</v>
      </c>
      <c r="C12" s="3">
        <v>892</v>
      </c>
      <c r="D12" s="4">
        <v>221</v>
      </c>
      <c r="F12">
        <f>SUM(C12:D13)</f>
        <v>1158</v>
      </c>
    </row>
    <row r="13" spans="1:8" x14ac:dyDescent="0.2">
      <c r="A13" s="14"/>
      <c r="B13" s="2">
        <v>1</v>
      </c>
      <c r="C13" s="4">
        <v>7</v>
      </c>
      <c r="D13" s="3">
        <v>38</v>
      </c>
    </row>
    <row r="14" spans="1:8" x14ac:dyDescent="0.2">
      <c r="C14" s="1">
        <f>C13/SUM(C12:C13)</f>
        <v>7.7864293659621799E-3</v>
      </c>
      <c r="D14" s="1">
        <f>D12/SUM(D12:D13)</f>
        <v>0.85328185328185324</v>
      </c>
      <c r="E14" s="1">
        <f>(C13+D12)/SUM(C12:D13)</f>
        <v>0.19689119170984457</v>
      </c>
      <c r="F14" t="s">
        <v>2</v>
      </c>
    </row>
    <row r="15" spans="1:8" x14ac:dyDescent="0.2">
      <c r="C15" t="s">
        <v>5</v>
      </c>
      <c r="D15" t="s">
        <v>4</v>
      </c>
      <c r="E15" s="9">
        <f>1-E14</f>
        <v>0.80310880829015541</v>
      </c>
    </row>
  </sheetData>
  <mergeCells count="6">
    <mergeCell ref="A12:A13"/>
    <mergeCell ref="A1:D1"/>
    <mergeCell ref="C2:D2"/>
    <mergeCell ref="A4:A5"/>
    <mergeCell ref="A9:D9"/>
    <mergeCell ref="C10:D1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8643C6-638B-2444-A0E5-8D9E62FB83B8}">
  <dimension ref="A1:F15"/>
  <sheetViews>
    <sheetView workbookViewId="0">
      <selection activeCell="D15" sqref="D15"/>
    </sheetView>
  </sheetViews>
  <sheetFormatPr baseColWidth="10" defaultRowHeight="16" x14ac:dyDescent="0.2"/>
  <sheetData>
    <row r="1" spans="1:6" x14ac:dyDescent="0.2">
      <c r="A1" s="12" t="s">
        <v>3</v>
      </c>
      <c r="B1" s="12"/>
      <c r="C1" s="12"/>
      <c r="D1" s="12"/>
    </row>
    <row r="2" spans="1:6" x14ac:dyDescent="0.2">
      <c r="A2" s="5"/>
      <c r="B2" s="6"/>
      <c r="C2" s="13" t="s">
        <v>0</v>
      </c>
      <c r="D2" s="13"/>
    </row>
    <row r="3" spans="1:6" x14ac:dyDescent="0.2">
      <c r="A3" s="7"/>
      <c r="B3" s="8"/>
      <c r="C3" s="2">
        <v>0</v>
      </c>
      <c r="D3" s="2">
        <v>1</v>
      </c>
    </row>
    <row r="4" spans="1:6" x14ac:dyDescent="0.2">
      <c r="A4" s="14" t="s">
        <v>1</v>
      </c>
      <c r="B4" s="2">
        <v>0</v>
      </c>
      <c r="C4" s="3">
        <v>21314</v>
      </c>
      <c r="D4" s="4">
        <v>4574</v>
      </c>
      <c r="F4">
        <f>SUM(C4:D5)</f>
        <v>31070</v>
      </c>
    </row>
    <row r="5" spans="1:6" x14ac:dyDescent="0.2">
      <c r="A5" s="14"/>
      <c r="B5" s="2">
        <v>1</v>
      </c>
      <c r="C5" s="4">
        <v>1472</v>
      </c>
      <c r="D5" s="3">
        <v>3710</v>
      </c>
    </row>
    <row r="6" spans="1:6" x14ac:dyDescent="0.2">
      <c r="C6" s="1">
        <f>C5/SUM(C4:C5)</f>
        <v>6.4601070832967608E-2</v>
      </c>
      <c r="D6" s="1">
        <f>D4/SUM(D4:D5)</f>
        <v>0.55214872042491547</v>
      </c>
      <c r="E6" s="1">
        <f>(C5+D4)/SUM(C4:D5)</f>
        <v>0.19459285484390088</v>
      </c>
      <c r="F6" t="s">
        <v>2</v>
      </c>
    </row>
    <row r="7" spans="1:6" x14ac:dyDescent="0.2">
      <c r="C7" t="s">
        <v>5</v>
      </c>
      <c r="D7" t="s">
        <v>4</v>
      </c>
      <c r="E7" s="9">
        <f>1-E6</f>
        <v>0.80540714515609912</v>
      </c>
    </row>
    <row r="9" spans="1:6" x14ac:dyDescent="0.2">
      <c r="A9" s="12" t="s">
        <v>6</v>
      </c>
      <c r="B9" s="12"/>
      <c r="C9" s="12"/>
      <c r="D9" s="12"/>
    </row>
    <row r="10" spans="1:6" x14ac:dyDescent="0.2">
      <c r="A10" s="5"/>
      <c r="B10" s="6"/>
      <c r="C10" s="13" t="s">
        <v>0</v>
      </c>
      <c r="D10" s="13"/>
    </row>
    <row r="11" spans="1:6" x14ac:dyDescent="0.2">
      <c r="A11" s="7"/>
      <c r="B11" s="8"/>
      <c r="C11" s="2">
        <v>0</v>
      </c>
      <c r="D11" s="2">
        <v>1</v>
      </c>
    </row>
    <row r="12" spans="1:6" x14ac:dyDescent="0.2">
      <c r="A12" s="14" t="s">
        <v>1</v>
      </c>
      <c r="B12" s="2">
        <v>0</v>
      </c>
      <c r="C12" s="3">
        <v>861</v>
      </c>
      <c r="D12" s="4">
        <v>183</v>
      </c>
      <c r="F12">
        <f>SUM(C12:D13)</f>
        <v>1158</v>
      </c>
    </row>
    <row r="13" spans="1:6" x14ac:dyDescent="0.2">
      <c r="A13" s="14"/>
      <c r="B13" s="2">
        <v>1</v>
      </c>
      <c r="C13" s="4">
        <v>38</v>
      </c>
      <c r="D13" s="10">
        <v>76</v>
      </c>
    </row>
    <row r="14" spans="1:6" x14ac:dyDescent="0.2">
      <c r="C14" s="1">
        <f>C13/SUM(C12:C13)</f>
        <v>4.2269187986651836E-2</v>
      </c>
      <c r="D14" s="1">
        <f>D12/SUM(D12:D13)</f>
        <v>0.70656370656370659</v>
      </c>
      <c r="E14" s="1">
        <f>(C13+D12)/SUM(C12:D13)</f>
        <v>0.19084628670120898</v>
      </c>
      <c r="F14" t="s">
        <v>2</v>
      </c>
    </row>
    <row r="15" spans="1:6" x14ac:dyDescent="0.2">
      <c r="C15" t="s">
        <v>5</v>
      </c>
      <c r="D15" t="s">
        <v>4</v>
      </c>
      <c r="E15" s="9">
        <f>1-E14</f>
        <v>0.80915371329879104</v>
      </c>
    </row>
  </sheetData>
  <mergeCells count="6">
    <mergeCell ref="A12:A13"/>
    <mergeCell ref="A1:D1"/>
    <mergeCell ref="C2:D2"/>
    <mergeCell ref="A4:A5"/>
    <mergeCell ref="A9:D9"/>
    <mergeCell ref="C10:D1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DDB164-21FC-2749-81C6-202A679DB7EF}">
  <dimension ref="A1:F15"/>
  <sheetViews>
    <sheetView workbookViewId="0">
      <selection activeCell="C14" sqref="C14"/>
    </sheetView>
  </sheetViews>
  <sheetFormatPr baseColWidth="10" defaultRowHeight="16" x14ac:dyDescent="0.2"/>
  <sheetData>
    <row r="1" spans="1:6" x14ac:dyDescent="0.2">
      <c r="A1" s="12" t="s">
        <v>3</v>
      </c>
      <c r="B1" s="12"/>
      <c r="C1" s="12"/>
      <c r="D1" s="12"/>
    </row>
    <row r="2" spans="1:6" x14ac:dyDescent="0.2">
      <c r="A2" s="5"/>
      <c r="B2" s="6"/>
      <c r="C2" s="13" t="s">
        <v>0</v>
      </c>
      <c r="D2" s="13"/>
    </row>
    <row r="3" spans="1:6" x14ac:dyDescent="0.2">
      <c r="A3" s="7"/>
      <c r="B3" s="8"/>
      <c r="C3" s="2">
        <v>0</v>
      </c>
      <c r="D3" s="2">
        <v>1</v>
      </c>
    </row>
    <row r="4" spans="1:6" x14ac:dyDescent="0.2">
      <c r="A4" s="14" t="s">
        <v>1</v>
      </c>
      <c r="B4" s="2">
        <v>0</v>
      </c>
      <c r="C4" s="3">
        <v>21314</v>
      </c>
      <c r="D4" s="4">
        <v>4574</v>
      </c>
      <c r="F4">
        <f>SUM(C4:D5)</f>
        <v>31070</v>
      </c>
    </row>
    <row r="5" spans="1:6" x14ac:dyDescent="0.2">
      <c r="A5" s="14"/>
      <c r="B5" s="2">
        <v>1</v>
      </c>
      <c r="C5" s="4">
        <v>1472</v>
      </c>
      <c r="D5" s="3">
        <v>3710</v>
      </c>
    </row>
    <row r="6" spans="1:6" x14ac:dyDescent="0.2">
      <c r="C6" s="1">
        <f>C5/SUM(C4:C5)</f>
        <v>6.4601070832967608E-2</v>
      </c>
      <c r="D6" s="1">
        <f>D4/SUM(D4:D5)</f>
        <v>0.55214872042491547</v>
      </c>
      <c r="E6" s="1">
        <f>(C5+D4)/SUM(C4:D5)</f>
        <v>0.19459285484390088</v>
      </c>
      <c r="F6" t="s">
        <v>2</v>
      </c>
    </row>
    <row r="7" spans="1:6" x14ac:dyDescent="0.2">
      <c r="C7" t="s">
        <v>5</v>
      </c>
      <c r="D7" t="s">
        <v>4</v>
      </c>
      <c r="E7" s="9">
        <f>1-E6</f>
        <v>0.80540714515609912</v>
      </c>
    </row>
    <row r="9" spans="1:6" x14ac:dyDescent="0.2">
      <c r="A9" s="12" t="s">
        <v>6</v>
      </c>
      <c r="B9" s="12"/>
      <c r="C9" s="12"/>
      <c r="D9" s="12"/>
    </row>
    <row r="10" spans="1:6" x14ac:dyDescent="0.2">
      <c r="A10" s="5"/>
      <c r="B10" s="6"/>
      <c r="C10" s="13" t="s">
        <v>0</v>
      </c>
      <c r="D10" s="13"/>
    </row>
    <row r="11" spans="1:6" x14ac:dyDescent="0.2">
      <c r="A11" s="7"/>
      <c r="B11" s="8"/>
      <c r="C11" s="2">
        <v>0</v>
      </c>
      <c r="D11" s="2">
        <v>1</v>
      </c>
    </row>
    <row r="12" spans="1:6" x14ac:dyDescent="0.2">
      <c r="A12" s="14" t="s">
        <v>1</v>
      </c>
      <c r="B12" s="2">
        <v>0</v>
      </c>
      <c r="C12" s="3">
        <v>861</v>
      </c>
      <c r="D12" s="4">
        <v>180</v>
      </c>
      <c r="F12">
        <f>SUM(C12:D13)</f>
        <v>1158</v>
      </c>
    </row>
    <row r="13" spans="1:6" x14ac:dyDescent="0.2">
      <c r="A13" s="14"/>
      <c r="B13" s="2">
        <v>1</v>
      </c>
      <c r="C13" s="4">
        <v>38</v>
      </c>
      <c r="D13" s="10">
        <v>79</v>
      </c>
    </row>
    <row r="14" spans="1:6" x14ac:dyDescent="0.2">
      <c r="C14" s="1">
        <f>C13/SUM(C12:C13)</f>
        <v>4.2269187986651836E-2</v>
      </c>
      <c r="D14" s="1">
        <f>D12/SUM(D12:D13)</f>
        <v>0.69498069498069504</v>
      </c>
      <c r="E14" s="1">
        <f>(C13+D12)/SUM(C12:D13)</f>
        <v>0.18825561312607944</v>
      </c>
      <c r="F14" t="s">
        <v>2</v>
      </c>
    </row>
    <row r="15" spans="1:6" x14ac:dyDescent="0.2">
      <c r="C15" t="s">
        <v>5</v>
      </c>
      <c r="D15" t="s">
        <v>4</v>
      </c>
      <c r="E15" s="9">
        <f>1-E14</f>
        <v>0.81174438687392059</v>
      </c>
    </row>
  </sheetData>
  <mergeCells count="6">
    <mergeCell ref="A12:A13"/>
    <mergeCell ref="A1:D1"/>
    <mergeCell ref="C2:D2"/>
    <mergeCell ref="A4:A5"/>
    <mergeCell ref="A9:D9"/>
    <mergeCell ref="C10:D10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06E7A-24EB-554D-8AE4-2B2BE8923685}">
  <dimension ref="A1:F15"/>
  <sheetViews>
    <sheetView workbookViewId="0">
      <selection activeCell="C14" sqref="C14"/>
    </sheetView>
  </sheetViews>
  <sheetFormatPr baseColWidth="10" defaultRowHeight="16" x14ac:dyDescent="0.2"/>
  <sheetData>
    <row r="1" spans="1:6" x14ac:dyDescent="0.2">
      <c r="A1" s="12" t="s">
        <v>9</v>
      </c>
      <c r="B1" s="12"/>
      <c r="C1" s="12"/>
      <c r="D1" s="12"/>
    </row>
    <row r="2" spans="1:6" x14ac:dyDescent="0.2">
      <c r="A2" s="5"/>
      <c r="B2" s="6"/>
      <c r="C2" s="13" t="s">
        <v>0</v>
      </c>
      <c r="D2" s="13"/>
    </row>
    <row r="3" spans="1:6" x14ac:dyDescent="0.2">
      <c r="A3" s="7"/>
      <c r="B3" s="8"/>
      <c r="C3" s="2">
        <v>0</v>
      </c>
      <c r="D3" s="2">
        <v>1</v>
      </c>
    </row>
    <row r="4" spans="1:6" x14ac:dyDescent="0.2">
      <c r="A4" s="14" t="s">
        <v>1</v>
      </c>
      <c r="B4" s="2">
        <v>0</v>
      </c>
      <c r="C4" s="3">
        <v>21203</v>
      </c>
      <c r="D4" s="4">
        <v>5204</v>
      </c>
      <c r="F4">
        <f>SUM(C4:D5)</f>
        <v>31070</v>
      </c>
    </row>
    <row r="5" spans="1:6" x14ac:dyDescent="0.2">
      <c r="A5" s="14"/>
      <c r="B5" s="2">
        <v>1</v>
      </c>
      <c r="C5" s="4">
        <v>1583</v>
      </c>
      <c r="D5" s="3">
        <v>3080</v>
      </c>
    </row>
    <row r="6" spans="1:6" x14ac:dyDescent="0.2">
      <c r="C6" s="1">
        <f>C5/SUM(C4:C5)</f>
        <v>6.9472483103660138E-2</v>
      </c>
      <c r="D6" s="1">
        <f>D4/SUM(D4:D5)</f>
        <v>0.62819893771125057</v>
      </c>
      <c r="E6" s="1">
        <f>(C5+D4)/SUM(C4:D5)</f>
        <v>0.2184422272288381</v>
      </c>
      <c r="F6" t="s">
        <v>2</v>
      </c>
    </row>
    <row r="7" spans="1:6" x14ac:dyDescent="0.2">
      <c r="C7" t="s">
        <v>5</v>
      </c>
      <c r="D7" t="s">
        <v>4</v>
      </c>
      <c r="E7" s="9">
        <f>1-E6</f>
        <v>0.7815577727711619</v>
      </c>
    </row>
    <row r="9" spans="1:6" x14ac:dyDescent="0.2">
      <c r="A9" s="12" t="s">
        <v>6</v>
      </c>
      <c r="B9" s="12"/>
      <c r="C9" s="12"/>
      <c r="D9" s="12"/>
    </row>
    <row r="10" spans="1:6" x14ac:dyDescent="0.2">
      <c r="A10" s="5"/>
      <c r="B10" s="6"/>
      <c r="C10" s="13" t="s">
        <v>0</v>
      </c>
      <c r="D10" s="13"/>
    </row>
    <row r="11" spans="1:6" x14ac:dyDescent="0.2">
      <c r="A11" s="7"/>
      <c r="B11" s="8"/>
      <c r="C11" s="2">
        <v>0</v>
      </c>
      <c r="D11" s="2">
        <v>1</v>
      </c>
    </row>
    <row r="12" spans="1:6" x14ac:dyDescent="0.2">
      <c r="A12" s="14" t="s">
        <v>1</v>
      </c>
      <c r="B12" s="2">
        <v>0</v>
      </c>
      <c r="C12" s="3">
        <v>850</v>
      </c>
      <c r="D12" s="4">
        <v>197</v>
      </c>
      <c r="F12">
        <f>SUM(C12:D13)</f>
        <v>1158</v>
      </c>
    </row>
    <row r="13" spans="1:6" x14ac:dyDescent="0.2">
      <c r="A13" s="14"/>
      <c r="B13" s="2">
        <v>1</v>
      </c>
      <c r="C13" s="4">
        <v>49</v>
      </c>
      <c r="D13" s="10">
        <v>62</v>
      </c>
    </row>
    <row r="14" spans="1:6" x14ac:dyDescent="0.2">
      <c r="C14" s="1">
        <f>C13/SUM(C12:C13)</f>
        <v>5.4505005561735265E-2</v>
      </c>
      <c r="D14" s="1">
        <f>D12/SUM(D12:D13)</f>
        <v>0.76061776061776065</v>
      </c>
      <c r="E14" s="1">
        <f>(C13+D12)/SUM(C12:D13)</f>
        <v>0.21243523316062177</v>
      </c>
      <c r="F14" t="s">
        <v>2</v>
      </c>
    </row>
    <row r="15" spans="1:6" x14ac:dyDescent="0.2">
      <c r="C15" t="s">
        <v>5</v>
      </c>
      <c r="D15" t="s">
        <v>4</v>
      </c>
      <c r="E15" s="9">
        <f>1-E14</f>
        <v>0.78756476683937826</v>
      </c>
    </row>
  </sheetData>
  <mergeCells count="6">
    <mergeCell ref="A12:A13"/>
    <mergeCell ref="A1:D1"/>
    <mergeCell ref="C2:D2"/>
    <mergeCell ref="A4:A5"/>
    <mergeCell ref="A9:D9"/>
    <mergeCell ref="C10:D1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EBDEE-21FC-854D-930A-6DB3F5A7C024}">
  <dimension ref="A1:H17"/>
  <sheetViews>
    <sheetView workbookViewId="0">
      <selection sqref="A1:F17"/>
    </sheetView>
  </sheetViews>
  <sheetFormatPr baseColWidth="10" defaultRowHeight="16" x14ac:dyDescent="0.2"/>
  <cols>
    <col min="8" max="8" width="19.33203125" bestFit="1" customWidth="1"/>
  </cols>
  <sheetData>
    <row r="1" spans="1:8" x14ac:dyDescent="0.2">
      <c r="A1" s="12" t="s">
        <v>7</v>
      </c>
      <c r="B1" s="12"/>
      <c r="C1" s="12"/>
      <c r="D1" s="12"/>
    </row>
    <row r="2" spans="1:8" x14ac:dyDescent="0.2">
      <c r="A2" s="5"/>
      <c r="B2" s="6"/>
      <c r="C2" s="13" t="s">
        <v>0</v>
      </c>
      <c r="D2" s="13"/>
    </row>
    <row r="3" spans="1:8" x14ac:dyDescent="0.2">
      <c r="A3" s="7"/>
      <c r="B3" s="8"/>
      <c r="C3" s="2">
        <v>0</v>
      </c>
      <c r="D3" s="2">
        <v>1</v>
      </c>
    </row>
    <row r="4" spans="1:8" x14ac:dyDescent="0.2">
      <c r="A4" s="14" t="s">
        <v>1</v>
      </c>
      <c r="B4" s="2">
        <v>0</v>
      </c>
      <c r="C4" s="3">
        <v>21203</v>
      </c>
      <c r="D4" s="4">
        <v>5204</v>
      </c>
      <c r="F4">
        <f>SUM(C4:D5)</f>
        <v>31070</v>
      </c>
    </row>
    <row r="5" spans="1:8" x14ac:dyDescent="0.2">
      <c r="A5" s="14"/>
      <c r="B5" s="2">
        <v>1</v>
      </c>
      <c r="C5" s="4">
        <v>1583</v>
      </c>
      <c r="D5" s="3">
        <v>3080</v>
      </c>
    </row>
    <row r="6" spans="1:8" x14ac:dyDescent="0.2">
      <c r="C6" s="1">
        <f>C5/SUM(C4:C5)</f>
        <v>6.9472483103660138E-2</v>
      </c>
      <c r="D6" s="1">
        <f>D4/SUM(D4:D5)</f>
        <v>0.62819893771125057</v>
      </c>
      <c r="E6" s="1">
        <f>(C5+D4)/SUM(C4:D5)</f>
        <v>0.2184422272288381</v>
      </c>
      <c r="F6" t="s">
        <v>2</v>
      </c>
    </row>
    <row r="7" spans="1:8" x14ac:dyDescent="0.2">
      <c r="C7" t="s">
        <v>5</v>
      </c>
      <c r="D7" t="s">
        <v>4</v>
      </c>
      <c r="E7" s="9">
        <f>1-E6</f>
        <v>0.7815577727711619</v>
      </c>
      <c r="H7" s="11"/>
    </row>
    <row r="9" spans="1:8" x14ac:dyDescent="0.2">
      <c r="A9" s="12" t="s">
        <v>8</v>
      </c>
      <c r="B9" s="12"/>
      <c r="C9" s="12"/>
      <c r="D9" s="12"/>
    </row>
    <row r="10" spans="1:8" x14ac:dyDescent="0.2">
      <c r="A10" s="5"/>
      <c r="B10" s="6"/>
      <c r="C10" s="13" t="s">
        <v>0</v>
      </c>
      <c r="D10" s="13"/>
    </row>
    <row r="11" spans="1:8" x14ac:dyDescent="0.2">
      <c r="A11" s="7"/>
      <c r="B11" s="8"/>
      <c r="C11" s="2">
        <v>0</v>
      </c>
      <c r="D11" s="2">
        <v>1</v>
      </c>
    </row>
    <row r="12" spans="1:8" x14ac:dyDescent="0.2">
      <c r="A12" s="14" t="s">
        <v>1</v>
      </c>
      <c r="B12" s="2">
        <v>0</v>
      </c>
      <c r="C12" s="3">
        <v>850</v>
      </c>
      <c r="D12" s="4">
        <v>197</v>
      </c>
      <c r="F12">
        <f>SUM(C12:D13)</f>
        <v>1158</v>
      </c>
    </row>
    <row r="13" spans="1:8" x14ac:dyDescent="0.2">
      <c r="A13" s="14"/>
      <c r="B13" s="2">
        <v>1</v>
      </c>
      <c r="C13" s="4">
        <v>49</v>
      </c>
      <c r="D13" s="3">
        <v>62</v>
      </c>
    </row>
    <row r="14" spans="1:8" x14ac:dyDescent="0.2">
      <c r="C14" s="1">
        <f>C13/SUM(C12:C13)</f>
        <v>5.4505005561735265E-2</v>
      </c>
      <c r="D14" s="1">
        <f>D12/SUM(D12:D13)</f>
        <v>0.76061776061776065</v>
      </c>
      <c r="E14" s="1">
        <f>(C13+D12)/SUM(C12:D13)</f>
        <v>0.21243523316062177</v>
      </c>
      <c r="F14" t="s">
        <v>2</v>
      </c>
    </row>
    <row r="15" spans="1:8" x14ac:dyDescent="0.2">
      <c r="C15" t="s">
        <v>5</v>
      </c>
      <c r="D15" t="s">
        <v>4</v>
      </c>
      <c r="E15" s="9">
        <f>1-E14</f>
        <v>0.78756476683937826</v>
      </c>
    </row>
    <row r="17" spans="3:4" x14ac:dyDescent="0.2">
      <c r="C17">
        <f>SUM(C12:C13)</f>
        <v>899</v>
      </c>
      <c r="D17">
        <f>SUM(D12:D13)</f>
        <v>259</v>
      </c>
    </row>
  </sheetData>
  <mergeCells count="6">
    <mergeCell ref="A12:A13"/>
    <mergeCell ref="A1:D1"/>
    <mergeCell ref="C2:D2"/>
    <mergeCell ref="A4:A5"/>
    <mergeCell ref="A9:D9"/>
    <mergeCell ref="C10:D1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Tree</vt:lpstr>
      <vt:lpstr>RandomForest</vt:lpstr>
      <vt:lpstr>xGboost</vt:lpstr>
      <vt:lpstr>CatBoost</vt:lpstr>
      <vt:lpstr>Lasso</vt:lpstr>
      <vt:lpstr>Logit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 Amor</dc:creator>
  <cp:lastModifiedBy>Matt Amor</cp:lastModifiedBy>
  <dcterms:created xsi:type="dcterms:W3CDTF">2026-04-21T19:42:39Z</dcterms:created>
  <dcterms:modified xsi:type="dcterms:W3CDTF">2026-04-24T22:28:27Z</dcterms:modified>
</cp:coreProperties>
</file>