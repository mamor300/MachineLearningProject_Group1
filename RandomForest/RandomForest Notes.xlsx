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d20b6f89a61f61e/School/ECON 6378 - Machines/"/>
    </mc:Choice>
  </mc:AlternateContent>
  <xr:revisionPtr revIDLastSave="0" documentId="8_{A8F7D1D9-FE54-4A4A-8F33-9757708DE320}" xr6:coauthVersionLast="47" xr6:coauthVersionMax="47" xr10:uidLastSave="{00000000-0000-0000-0000-000000000000}"/>
  <bookViews>
    <workbookView xWindow="460" yWindow="1020" windowWidth="25040" windowHeight="14100" activeTab="5" xr2:uid="{70756974-4A70-6B43-AB54-573D8936E951}"/>
  </bookViews>
  <sheets>
    <sheet name="Tree" sheetId="3" r:id="rId1"/>
    <sheet name="RandomForest" sheetId="1" r:id="rId2"/>
    <sheet name="xGboost" sheetId="5" r:id="rId3"/>
    <sheet name="CatBoost" sheetId="6" r:id="rId4"/>
    <sheet name="Lasso" sheetId="4" r:id="rId5"/>
    <sheet name="Logit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3" l="1"/>
  <c r="F12" i="3"/>
  <c r="D6" i="2"/>
  <c r="C6" i="2"/>
  <c r="F4" i="2"/>
  <c r="E22" i="2"/>
  <c r="E23" i="2" s="1"/>
  <c r="D22" i="2"/>
  <c r="C22" i="2"/>
  <c r="F20" i="2"/>
  <c r="E17" i="3"/>
  <c r="F12" i="2"/>
  <c r="E14" i="2"/>
  <c r="E15" i="2" s="1"/>
  <c r="D14" i="2"/>
  <c r="C14" i="2"/>
  <c r="D19" i="3"/>
  <c r="D20" i="3" s="1"/>
  <c r="C19" i="3"/>
  <c r="B19" i="3"/>
  <c r="D12" i="3"/>
  <c r="D13" i="3" s="1"/>
  <c r="C12" i="3"/>
  <c r="B12" i="3"/>
  <c r="C4" i="6"/>
  <c r="D4" i="6"/>
  <c r="D5" i="6" s="1"/>
  <c r="B4" i="6"/>
  <c r="D5" i="3"/>
  <c r="D4" i="3"/>
  <c r="C4" i="3"/>
  <c r="B4" i="3"/>
  <c r="E6" i="2"/>
  <c r="E7" i="2" s="1"/>
  <c r="E19" i="1"/>
  <c r="E20" i="1" s="1"/>
  <c r="C19" i="1"/>
  <c r="D19" i="1"/>
  <c r="D5" i="1"/>
  <c r="D3" i="1"/>
  <c r="D4" i="1"/>
  <c r="D11" i="1"/>
</calcChain>
</file>

<file path=xl/sharedStrings.xml><?xml version="1.0" encoding="utf-8"?>
<sst xmlns="http://schemas.openxmlformats.org/spreadsheetml/2006/main" count="39" uniqueCount="18">
  <si>
    <t>class.error</t>
  </si>
  <si>
    <t>Minus Zip and Fips</t>
  </si>
  <si>
    <t>Minus ZIP</t>
  </si>
  <si>
    <t xml:space="preserve">          Reference</t>
  </si>
  <si>
    <t>Prediction</t>
  </si>
  <si>
    <t>Minus ZIP, FIPS, Company</t>
  </si>
  <si>
    <t>Fully Test - not 5-fold CV</t>
  </si>
  <si>
    <t>False neg</t>
  </si>
  <si>
    <t>False pos</t>
  </si>
  <si>
    <t>Total Error</t>
  </si>
  <si>
    <t>Total error</t>
  </si>
  <si>
    <t>Accuracy</t>
  </si>
  <si>
    <t>Check Test</t>
  </si>
  <si>
    <t>Check Test - is_older_american</t>
  </si>
  <si>
    <t xml:space="preserve">Test - </t>
  </si>
  <si>
    <t>False Neg</t>
  </si>
  <si>
    <t>False Pos.</t>
  </si>
  <si>
    <t>Test -  Non older americans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</si>
</sst>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7" formatCode="0.000000000000000%"/>
    <numFmt numFmtId="168" formatCode="0.00000000000000%"/>
  </numFmts>
  <fonts count="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8">
    <xf numFmtId="0" fontId="0" fillId="0" borderId="0" xfId="0"/>
    <xf numFmtId="164" fontId="0" fillId="0" borderId="0" xfId="1" applyNumberFormat="1" applyFont="1"/>
    <xf numFmtId="10" fontId="0" fillId="0" borderId="0" xfId="1" applyNumberFormat="1" applyFont="1"/>
    <xf numFmtId="0" fontId="0" fillId="0" borderId="1" xfId="0" applyBorder="1"/>
    <xf numFmtId="0" fontId="0" fillId="3" borderId="1" xfId="0" applyFill="1" applyBorder="1"/>
    <xf numFmtId="0" fontId="0" fillId="4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0" xfId="0" applyFill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164" fontId="0" fillId="0" borderId="0" xfId="0" applyNumberFormat="1"/>
    <xf numFmtId="1" fontId="0" fillId="3" borderId="1" xfId="0" applyNumberFormat="1" applyFill="1" applyBorder="1"/>
    <xf numFmtId="167" fontId="0" fillId="0" borderId="0" xfId="0" applyNumberFormat="1"/>
    <xf numFmtId="168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91954-EDEB-F848-A538-5BC73681F1AA}">
  <dimension ref="A1:F20"/>
  <sheetViews>
    <sheetView workbookViewId="0">
      <selection activeCell="F18" sqref="F18"/>
    </sheetView>
  </sheetViews>
  <sheetFormatPr baseColWidth="10" defaultRowHeight="16" x14ac:dyDescent="0.2"/>
  <cols>
    <col min="6" max="6" width="20.33203125" bestFit="1" customWidth="1"/>
  </cols>
  <sheetData>
    <row r="1" spans="1:6" x14ac:dyDescent="0.2">
      <c r="B1">
        <v>0</v>
      </c>
      <c r="C1">
        <v>1</v>
      </c>
    </row>
    <row r="2" spans="1:6" x14ac:dyDescent="0.2">
      <c r="A2">
        <v>0</v>
      </c>
      <c r="B2">
        <v>8534</v>
      </c>
      <c r="C2">
        <v>2045</v>
      </c>
    </row>
    <row r="3" spans="1:6" x14ac:dyDescent="0.2">
      <c r="A3">
        <v>1</v>
      </c>
      <c r="B3">
        <v>558</v>
      </c>
      <c r="C3">
        <v>1194</v>
      </c>
    </row>
    <row r="4" spans="1:6" x14ac:dyDescent="0.2">
      <c r="B4" s="1">
        <f>B3/SUM(B2:B3)</f>
        <v>6.137263528376595E-2</v>
      </c>
      <c r="C4" s="1">
        <f>C2/SUM(C2:C3)</f>
        <v>0.63136770608212411</v>
      </c>
      <c r="D4" s="1">
        <f>SUM(C2,B3)/SUM(B2:C3)</f>
        <v>0.2110939907550077</v>
      </c>
      <c r="E4" t="s">
        <v>10</v>
      </c>
    </row>
    <row r="5" spans="1:6" x14ac:dyDescent="0.2">
      <c r="D5" s="1">
        <f>1-D4</f>
        <v>0.78890600924499232</v>
      </c>
      <c r="E5" t="s">
        <v>11</v>
      </c>
    </row>
    <row r="8" spans="1:6" x14ac:dyDescent="0.2">
      <c r="A8" s="10" t="s">
        <v>12</v>
      </c>
      <c r="B8" s="10"/>
      <c r="C8" s="10"/>
      <c r="D8" s="10"/>
      <c r="E8" s="10"/>
    </row>
    <row r="9" spans="1:6" x14ac:dyDescent="0.2">
      <c r="B9">
        <v>0</v>
      </c>
      <c r="C9">
        <v>1</v>
      </c>
    </row>
    <row r="10" spans="1:6" x14ac:dyDescent="0.2">
      <c r="A10">
        <v>0</v>
      </c>
      <c r="B10">
        <v>21174</v>
      </c>
      <c r="C10">
        <v>4919</v>
      </c>
    </row>
    <row r="11" spans="1:6" x14ac:dyDescent="0.2">
      <c r="A11">
        <v>1</v>
      </c>
      <c r="B11">
        <v>1612</v>
      </c>
      <c r="C11">
        <v>3365</v>
      </c>
    </row>
    <row r="12" spans="1:6" x14ac:dyDescent="0.2">
      <c r="B12" s="1">
        <f>B11/SUM(B10:B11)</f>
        <v>7.0745194417624863E-2</v>
      </c>
      <c r="C12" s="1">
        <f>C10/SUM(C10:C11)</f>
        <v>0.59379526798647997</v>
      </c>
      <c r="D12" s="1">
        <f>SUM(C10,B11)/SUM(B10:C11)</f>
        <v>0.21020276794335371</v>
      </c>
      <c r="E12" t="s">
        <v>10</v>
      </c>
      <c r="F12" s="16">
        <f>(C19-C12)/C19</f>
        <v>0.1641686173451179</v>
      </c>
    </row>
    <row r="13" spans="1:6" x14ac:dyDescent="0.2">
      <c r="D13" s="1">
        <f>1-D12</f>
        <v>0.78979723205664631</v>
      </c>
      <c r="E13" t="s">
        <v>11</v>
      </c>
    </row>
    <row r="15" spans="1:6" x14ac:dyDescent="0.2">
      <c r="A15" s="10" t="s">
        <v>13</v>
      </c>
      <c r="B15" s="10"/>
      <c r="C15" s="10"/>
      <c r="D15" s="10"/>
      <c r="E15" s="10"/>
    </row>
    <row r="16" spans="1:6" x14ac:dyDescent="0.2">
      <c r="B16">
        <v>0</v>
      </c>
      <c r="C16">
        <v>1</v>
      </c>
    </row>
    <row r="17" spans="1:6" x14ac:dyDescent="0.2">
      <c r="A17">
        <v>0</v>
      </c>
      <c r="B17">
        <v>847</v>
      </c>
      <c r="C17">
        <v>184</v>
      </c>
      <c r="E17">
        <f>SUM(B17:C18)</f>
        <v>1158</v>
      </c>
      <c r="F17">
        <f>SUM(B17:C17)</f>
        <v>1031</v>
      </c>
    </row>
    <row r="18" spans="1:6" x14ac:dyDescent="0.2">
      <c r="A18">
        <v>1</v>
      </c>
      <c r="B18">
        <v>52</v>
      </c>
      <c r="C18">
        <v>75</v>
      </c>
    </row>
    <row r="19" spans="1:6" x14ac:dyDescent="0.2">
      <c r="B19" s="1">
        <f>B18/SUM(B17:B18)</f>
        <v>5.7842046718576193E-2</v>
      </c>
      <c r="C19" s="1">
        <f>C17/SUM(C17:C18)</f>
        <v>0.71042471042471045</v>
      </c>
      <c r="D19" s="1">
        <f>SUM(C17,B18)/SUM(B17:C18)</f>
        <v>0.20379965457685664</v>
      </c>
      <c r="E19" t="s">
        <v>10</v>
      </c>
    </row>
    <row r="20" spans="1:6" x14ac:dyDescent="0.2">
      <c r="D20" s="1">
        <f>1-D19</f>
        <v>0.79620034542314333</v>
      </c>
      <c r="E20" t="s">
        <v>11</v>
      </c>
    </row>
  </sheetData>
  <mergeCells count="2">
    <mergeCell ref="A8:E8"/>
    <mergeCell ref="A15:E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3ACE2-2150-064E-B5C8-0AB1C12F8644}">
  <dimension ref="A1:F20"/>
  <sheetViews>
    <sheetView workbookViewId="0">
      <selection activeCell="C19" sqref="C19:D19"/>
    </sheetView>
  </sheetViews>
  <sheetFormatPr baseColWidth="10" defaultRowHeight="16" x14ac:dyDescent="0.2"/>
  <sheetData>
    <row r="1" spans="1:4" x14ac:dyDescent="0.2">
      <c r="A1" s="10" t="s">
        <v>2</v>
      </c>
      <c r="B1" s="10"/>
      <c r="C1" s="10"/>
      <c r="D1" s="10"/>
    </row>
    <row r="2" spans="1:4" x14ac:dyDescent="0.2">
      <c r="B2">
        <v>0</v>
      </c>
      <c r="C2">
        <v>1</v>
      </c>
      <c r="D2" t="s">
        <v>0</v>
      </c>
    </row>
    <row r="3" spans="1:4" x14ac:dyDescent="0.2">
      <c r="A3">
        <v>0</v>
      </c>
      <c r="B3">
        <v>7361</v>
      </c>
      <c r="C3">
        <v>0</v>
      </c>
      <c r="D3" s="2">
        <f>C3/SUM(B3:C3)</f>
        <v>0</v>
      </c>
    </row>
    <row r="4" spans="1:4" x14ac:dyDescent="0.2">
      <c r="A4">
        <v>1</v>
      </c>
      <c r="B4">
        <v>2639</v>
      </c>
      <c r="C4">
        <v>0</v>
      </c>
      <c r="D4" s="2">
        <f>B4/SUM(B4:C4)</f>
        <v>1</v>
      </c>
    </row>
    <row r="5" spans="1:4" x14ac:dyDescent="0.2">
      <c r="D5" s="2">
        <f>(C3+B4)/SUM(B3:C4)</f>
        <v>0.26390000000000002</v>
      </c>
    </row>
    <row r="7" spans="1:4" x14ac:dyDescent="0.2">
      <c r="A7" s="10" t="s">
        <v>1</v>
      </c>
      <c r="B7" s="10"/>
      <c r="C7" s="10"/>
      <c r="D7" s="10"/>
    </row>
    <row r="8" spans="1:4" x14ac:dyDescent="0.2">
      <c r="B8">
        <v>0</v>
      </c>
      <c r="C8">
        <v>1</v>
      </c>
      <c r="D8" t="s">
        <v>0</v>
      </c>
    </row>
    <row r="9" spans="1:4" x14ac:dyDescent="0.2">
      <c r="A9">
        <v>0</v>
      </c>
      <c r="B9">
        <v>7356</v>
      </c>
      <c r="C9">
        <v>5</v>
      </c>
      <c r="D9" s="2">
        <v>6.7925549999999998E-4</v>
      </c>
    </row>
    <row r="10" spans="1:4" x14ac:dyDescent="0.2">
      <c r="A10">
        <v>1</v>
      </c>
      <c r="B10">
        <v>2587</v>
      </c>
      <c r="C10">
        <v>52</v>
      </c>
      <c r="D10" s="2">
        <v>0.98029556650000005</v>
      </c>
    </row>
    <row r="11" spans="1:4" x14ac:dyDescent="0.2">
      <c r="D11" s="2">
        <f>(C9+B10)/SUM(B9:C10)</f>
        <v>0.25919999999999999</v>
      </c>
    </row>
    <row r="13" spans="1:4" x14ac:dyDescent="0.2">
      <c r="A13" s="10" t="s">
        <v>6</v>
      </c>
      <c r="B13" s="10"/>
      <c r="C13" s="10"/>
      <c r="D13" s="10"/>
    </row>
    <row r="14" spans="1:4" x14ac:dyDescent="0.2">
      <c r="A14" s="13" t="s">
        <v>5</v>
      </c>
      <c r="B14" s="13"/>
      <c r="C14" s="13"/>
      <c r="D14" s="13"/>
    </row>
    <row r="15" spans="1:4" x14ac:dyDescent="0.2">
      <c r="A15" s="6"/>
      <c r="B15" s="7"/>
      <c r="C15" s="11" t="s">
        <v>3</v>
      </c>
      <c r="D15" s="11"/>
    </row>
    <row r="16" spans="1:4" x14ac:dyDescent="0.2">
      <c r="A16" s="8"/>
      <c r="B16" s="9"/>
      <c r="C16" s="3">
        <v>0</v>
      </c>
      <c r="D16" s="3">
        <v>1</v>
      </c>
    </row>
    <row r="17" spans="1:6" x14ac:dyDescent="0.2">
      <c r="A17" s="12" t="s">
        <v>4</v>
      </c>
      <c r="B17" s="3">
        <v>0</v>
      </c>
      <c r="C17" s="4">
        <v>1390</v>
      </c>
      <c r="D17" s="5">
        <v>475</v>
      </c>
    </row>
    <row r="18" spans="1:6" x14ac:dyDescent="0.2">
      <c r="A18" s="12"/>
      <c r="B18" s="3">
        <v>1</v>
      </c>
      <c r="C18" s="5">
        <v>86</v>
      </c>
      <c r="D18" s="4">
        <v>49</v>
      </c>
    </row>
    <row r="19" spans="1:6" x14ac:dyDescent="0.2">
      <c r="C19" s="1">
        <f>D17/SUM(C17:C18)</f>
        <v>0.32181571815718157</v>
      </c>
      <c r="D19" s="1">
        <f>C18/SUM(D17:D18)</f>
        <v>0.16412213740458015</v>
      </c>
      <c r="E19" s="1">
        <f>(C18+D17)/SUM(C17:D18)</f>
        <v>0.28050000000000003</v>
      </c>
      <c r="F19" t="s">
        <v>9</v>
      </c>
    </row>
    <row r="20" spans="1:6" x14ac:dyDescent="0.2">
      <c r="C20" t="s">
        <v>8</v>
      </c>
      <c r="D20" t="s">
        <v>7</v>
      </c>
      <c r="E20" s="14">
        <f>1-E19</f>
        <v>0.71950000000000003</v>
      </c>
    </row>
  </sheetData>
  <mergeCells count="6">
    <mergeCell ref="A7:D7"/>
    <mergeCell ref="A1:D1"/>
    <mergeCell ref="C15:D15"/>
    <mergeCell ref="A17:A18"/>
    <mergeCell ref="A14:D14"/>
    <mergeCell ref="A13:D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643C6-638B-2444-A0E5-8D9E62FB83B8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DB164-21FC-2749-81C6-202A679DB7EF}">
  <dimension ref="A1:E5"/>
  <sheetViews>
    <sheetView workbookViewId="0">
      <selection activeCell="B4" sqref="B4:D5"/>
    </sheetView>
  </sheetViews>
  <sheetFormatPr baseColWidth="10" defaultRowHeight="16" x14ac:dyDescent="0.2"/>
  <sheetData>
    <row r="1" spans="1:5" x14ac:dyDescent="0.2">
      <c r="B1">
        <v>0</v>
      </c>
      <c r="C1">
        <v>1</v>
      </c>
    </row>
    <row r="2" spans="1:5" x14ac:dyDescent="0.2">
      <c r="A2">
        <v>0</v>
      </c>
      <c r="B2">
        <v>42603</v>
      </c>
      <c r="C2">
        <v>9747</v>
      </c>
    </row>
    <row r="3" spans="1:5" x14ac:dyDescent="0.2">
      <c r="A3">
        <v>1</v>
      </c>
      <c r="B3">
        <v>2857</v>
      </c>
      <c r="C3">
        <v>6449</v>
      </c>
    </row>
    <row r="4" spans="1:5" x14ac:dyDescent="0.2">
      <c r="B4" s="1">
        <f>B3/SUM(B2:B3)</f>
        <v>6.2846458424988996E-2</v>
      </c>
      <c r="C4" s="1">
        <f>C2/SUM(C2:C3)</f>
        <v>0.60181526302790811</v>
      </c>
      <c r="D4" s="1">
        <f>SUM(C2,B3)/SUM(B2:C3)</f>
        <v>0.20442454911119762</v>
      </c>
      <c r="E4" t="s">
        <v>10</v>
      </c>
    </row>
    <row r="5" spans="1:5" x14ac:dyDescent="0.2">
      <c r="D5" s="1">
        <f>1-D4</f>
        <v>0.79557545088880244</v>
      </c>
      <c r="E5" t="s">
        <v>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06E7A-24EB-554D-8AE4-2B2BE8923685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EBDEE-21FC-854D-930A-6DB3F5A7C024}">
  <dimension ref="A1:H23"/>
  <sheetViews>
    <sheetView tabSelected="1" workbookViewId="0">
      <selection activeCell="G12" sqref="G12"/>
    </sheetView>
  </sheetViews>
  <sheetFormatPr baseColWidth="10" defaultRowHeight="16" x14ac:dyDescent="0.2"/>
  <cols>
    <col min="8" max="8" width="19.33203125" bestFit="1" customWidth="1"/>
  </cols>
  <sheetData>
    <row r="1" spans="1:8" x14ac:dyDescent="0.2">
      <c r="A1" s="13" t="s">
        <v>5</v>
      </c>
      <c r="B1" s="13"/>
      <c r="C1" s="13"/>
      <c r="D1" s="13"/>
    </row>
    <row r="2" spans="1:8" x14ac:dyDescent="0.2">
      <c r="A2" s="6"/>
      <c r="B2" s="7"/>
      <c r="C2" s="11" t="s">
        <v>3</v>
      </c>
      <c r="D2" s="11"/>
    </row>
    <row r="3" spans="1:8" x14ac:dyDescent="0.2">
      <c r="A3" s="8"/>
      <c r="B3" s="9"/>
      <c r="C3" s="3">
        <v>0</v>
      </c>
      <c r="D3" s="3">
        <v>1</v>
      </c>
    </row>
    <row r="4" spans="1:8" x14ac:dyDescent="0.2">
      <c r="A4" s="12" t="s">
        <v>4</v>
      </c>
      <c r="B4" s="3">
        <v>0</v>
      </c>
      <c r="C4" s="4">
        <v>21216</v>
      </c>
      <c r="D4" s="5">
        <v>1570</v>
      </c>
      <c r="F4">
        <f>SUM(C4:D5)</f>
        <v>31070</v>
      </c>
    </row>
    <row r="5" spans="1:8" x14ac:dyDescent="0.2">
      <c r="A5" s="12"/>
      <c r="B5" s="3">
        <v>1</v>
      </c>
      <c r="C5" s="5">
        <v>5137</v>
      </c>
      <c r="D5" s="4">
        <v>3147</v>
      </c>
    </row>
    <row r="6" spans="1:8" x14ac:dyDescent="0.2">
      <c r="C6" s="1">
        <f>C5/SUM(C4:C5)</f>
        <v>0.19493036845899897</v>
      </c>
      <c r="D6" s="1">
        <f>D4/SUM(D4:D5)</f>
        <v>0.33283866864532541</v>
      </c>
      <c r="E6" s="1">
        <f>(C5+D4)/SUM(C4:D5)</f>
        <v>0.21586739620212422</v>
      </c>
      <c r="F6" t="s">
        <v>9</v>
      </c>
    </row>
    <row r="7" spans="1:8" x14ac:dyDescent="0.2">
      <c r="C7" t="s">
        <v>16</v>
      </c>
      <c r="D7" t="s">
        <v>15</v>
      </c>
      <c r="E7" s="14">
        <f>1-E6</f>
        <v>0.78413260379787575</v>
      </c>
      <c r="H7" s="17"/>
    </row>
    <row r="9" spans="1:8" x14ac:dyDescent="0.2">
      <c r="A9" s="13" t="s">
        <v>14</v>
      </c>
      <c r="B9" s="13"/>
      <c r="C9" s="13"/>
      <c r="D9" s="13"/>
    </row>
    <row r="10" spans="1:8" x14ac:dyDescent="0.2">
      <c r="A10" s="6"/>
      <c r="B10" s="7"/>
      <c r="C10" s="11" t="s">
        <v>3</v>
      </c>
      <c r="D10" s="11"/>
    </row>
    <row r="11" spans="1:8" x14ac:dyDescent="0.2">
      <c r="A11" s="8"/>
      <c r="B11" s="9"/>
      <c r="C11" s="3">
        <v>0</v>
      </c>
      <c r="D11" s="3">
        <v>1</v>
      </c>
    </row>
    <row r="12" spans="1:8" x14ac:dyDescent="0.2">
      <c r="A12" s="12" t="s">
        <v>4</v>
      </c>
      <c r="B12" s="3">
        <v>0</v>
      </c>
      <c r="C12" s="4">
        <v>849</v>
      </c>
      <c r="D12" s="5">
        <v>50</v>
      </c>
      <c r="F12">
        <f>SUM(C12:D13)</f>
        <v>1158</v>
      </c>
    </row>
    <row r="13" spans="1:8" x14ac:dyDescent="0.2">
      <c r="A13" s="12"/>
      <c r="B13" s="3">
        <v>1</v>
      </c>
      <c r="C13" s="5">
        <v>191</v>
      </c>
      <c r="D13" s="4">
        <v>68</v>
      </c>
    </row>
    <row r="14" spans="1:8" x14ac:dyDescent="0.2">
      <c r="C14" s="1">
        <f>C13/SUM(C12:C13)</f>
        <v>0.18365384615384617</v>
      </c>
      <c r="D14" s="1">
        <f>D12/SUM(D12:D13)</f>
        <v>0.42372881355932202</v>
      </c>
      <c r="E14" s="1">
        <f>(C13+D12)/SUM(C12:D13)</f>
        <v>0.2081174438687392</v>
      </c>
      <c r="F14" t="s">
        <v>9</v>
      </c>
    </row>
    <row r="15" spans="1:8" x14ac:dyDescent="0.2">
      <c r="C15" t="s">
        <v>16</v>
      </c>
      <c r="D15" t="s">
        <v>15</v>
      </c>
      <c r="E15" s="14">
        <f>1-E14</f>
        <v>0.7918825561312608</v>
      </c>
    </row>
    <row r="17" spans="1:6" x14ac:dyDescent="0.2">
      <c r="A17" s="13" t="s">
        <v>17</v>
      </c>
      <c r="B17" s="13"/>
      <c r="C17" s="13"/>
      <c r="D17" s="13"/>
    </row>
    <row r="18" spans="1:6" x14ac:dyDescent="0.2">
      <c r="A18" s="6"/>
      <c r="B18" s="7"/>
      <c r="C18" s="11" t="s">
        <v>3</v>
      </c>
      <c r="D18" s="11"/>
    </row>
    <row r="19" spans="1:6" x14ac:dyDescent="0.2">
      <c r="A19" s="8"/>
      <c r="B19" s="9"/>
      <c r="C19" s="3">
        <v>0</v>
      </c>
      <c r="D19" s="3">
        <v>1</v>
      </c>
    </row>
    <row r="20" spans="1:6" x14ac:dyDescent="0.2">
      <c r="A20" s="12" t="s">
        <v>4</v>
      </c>
      <c r="B20" s="3">
        <v>0</v>
      </c>
      <c r="C20" s="4">
        <v>20367</v>
      </c>
      <c r="D20" s="5">
        <v>1520</v>
      </c>
      <c r="F20">
        <f>SUM(C20:D21)</f>
        <v>29912</v>
      </c>
    </row>
    <row r="21" spans="1:6" x14ac:dyDescent="0.2">
      <c r="A21" s="12"/>
      <c r="B21" s="3">
        <v>1</v>
      </c>
      <c r="C21" s="5">
        <v>4946</v>
      </c>
      <c r="D21" s="15">
        <v>3079</v>
      </c>
    </row>
    <row r="22" spans="1:6" x14ac:dyDescent="0.2">
      <c r="C22" s="1">
        <f>C21/SUM(C20:C21)</f>
        <v>0.19539367123612372</v>
      </c>
      <c r="D22" s="1">
        <f>D20/SUM(D20:D21)</f>
        <v>0.33050663187649487</v>
      </c>
      <c r="E22" s="1">
        <f>(C21+D20)/SUM(C20:D21)</f>
        <v>0.21616742444503878</v>
      </c>
      <c r="F22" t="s">
        <v>9</v>
      </c>
    </row>
    <row r="23" spans="1:6" x14ac:dyDescent="0.2">
      <c r="C23" t="s">
        <v>16</v>
      </c>
      <c r="D23" t="s">
        <v>15</v>
      </c>
      <c r="E23" s="14">
        <f>1-E22</f>
        <v>0.78383257555496122</v>
      </c>
    </row>
  </sheetData>
  <mergeCells count="9">
    <mergeCell ref="A17:D17"/>
    <mergeCell ref="C18:D18"/>
    <mergeCell ref="A20:A21"/>
    <mergeCell ref="A1:D1"/>
    <mergeCell ref="C2:D2"/>
    <mergeCell ref="A4:A5"/>
    <mergeCell ref="A9:D9"/>
    <mergeCell ref="C10:D10"/>
    <mergeCell ref="A12:A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Tree</vt:lpstr>
      <vt:lpstr>RandomForest</vt:lpstr>
      <vt:lpstr>xGboost</vt:lpstr>
      <vt:lpstr>CatBoost</vt:lpstr>
      <vt:lpstr>Lasso</vt:lpstr>
      <vt:lpstr>Logit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Amor</dc:creator>
  <cp:lastModifiedBy>Matt Amor</cp:lastModifiedBy>
  <dcterms:created xsi:type="dcterms:W3CDTF">2026-04-21T19:42:39Z</dcterms:created>
  <dcterms:modified xsi:type="dcterms:W3CDTF">2026-04-23T19:12:34Z</dcterms:modified>
</cp:coreProperties>
</file>