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amor/MachineLearningProject_Group1/"/>
    </mc:Choice>
  </mc:AlternateContent>
  <xr:revisionPtr revIDLastSave="0" documentId="13_ncr:1_{C4B9E840-E5EB-AA40-AD79-20FF0FEBA6DA}" xr6:coauthVersionLast="47" xr6:coauthVersionMax="47" xr10:uidLastSave="{00000000-0000-0000-0000-000000000000}"/>
  <bookViews>
    <workbookView xWindow="440" yWindow="1020" windowWidth="35860" windowHeight="17480" activeTab="4" xr2:uid="{70756974-4A70-6B43-AB54-573D8936E951}"/>
  </bookViews>
  <sheets>
    <sheet name="Tree" sheetId="3" r:id="rId1"/>
    <sheet name="OLS" sheetId="8" r:id="rId2"/>
    <sheet name="RandomForest" sheetId="7" r:id="rId3"/>
    <sheet name="xGboost" sheetId="5" r:id="rId4"/>
    <sheet name="CatBoost" sheetId="6" r:id="rId5"/>
    <sheet name="Lasso" sheetId="4" r:id="rId6"/>
    <sheet name="Logit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4" i="2"/>
  <c r="G3" i="2" s="1"/>
  <c r="F5" i="4"/>
  <c r="F4" i="4"/>
  <c r="G3" i="4" s="1"/>
  <c r="F5" i="6"/>
  <c r="F4" i="6"/>
  <c r="G3" i="6" s="1"/>
  <c r="F5" i="5"/>
  <c r="F4" i="5"/>
  <c r="G3" i="5" s="1"/>
  <c r="F5" i="3"/>
  <c r="F4" i="3"/>
  <c r="G3" i="3"/>
  <c r="F13" i="8"/>
  <c r="F12" i="8"/>
  <c r="G11" i="8" s="1"/>
  <c r="G3" i="8"/>
  <c r="F5" i="8"/>
  <c r="F4" i="8"/>
  <c r="H6" i="5"/>
  <c r="D17" i="8"/>
  <c r="C17" i="8"/>
  <c r="E14" i="8"/>
  <c r="E15" i="8" s="1"/>
  <c r="D14" i="8"/>
  <c r="C14" i="8"/>
  <c r="E6" i="8"/>
  <c r="E7" i="8" s="1"/>
  <c r="D6" i="8"/>
  <c r="C6" i="8"/>
  <c r="E22" i="6"/>
  <c r="E23" i="6" s="1"/>
  <c r="D22" i="6"/>
  <c r="C22" i="6"/>
  <c r="F20" i="6"/>
  <c r="D17" i="3"/>
  <c r="C17" i="3"/>
  <c r="E14" i="3"/>
  <c r="E15" i="3" s="1"/>
  <c r="D14" i="3"/>
  <c r="C14" i="3"/>
  <c r="F12" i="3"/>
  <c r="E6" i="3"/>
  <c r="E7" i="3" s="1"/>
  <c r="D6" i="3"/>
  <c r="C6" i="3"/>
  <c r="D17" i="2"/>
  <c r="C17" i="2"/>
  <c r="E14" i="5"/>
  <c r="E15" i="5" s="1"/>
  <c r="D14" i="5"/>
  <c r="C14" i="5"/>
  <c r="F12" i="5"/>
  <c r="E6" i="5"/>
  <c r="E7" i="5" s="1"/>
  <c r="D6" i="5"/>
  <c r="C6" i="5"/>
  <c r="E14" i="6"/>
  <c r="E15" i="6" s="1"/>
  <c r="D14" i="6"/>
  <c r="C14" i="6"/>
  <c r="F12" i="6"/>
  <c r="E6" i="6"/>
  <c r="E7" i="6" s="1"/>
  <c r="D6" i="6"/>
  <c r="C6" i="6"/>
  <c r="E14" i="7"/>
  <c r="E15" i="7" s="1"/>
  <c r="D14" i="7"/>
  <c r="C14" i="7"/>
  <c r="F12" i="7"/>
  <c r="E6" i="7"/>
  <c r="E7" i="7" s="1"/>
  <c r="D6" i="7"/>
  <c r="F4" i="7" s="1"/>
  <c r="C6" i="7"/>
  <c r="F5" i="7" s="1"/>
  <c r="E14" i="4"/>
  <c r="E15" i="4" s="1"/>
  <c r="D14" i="4"/>
  <c r="C14" i="4"/>
  <c r="F12" i="4"/>
  <c r="E6" i="4"/>
  <c r="E7" i="4" s="1"/>
  <c r="D6" i="4"/>
  <c r="C6" i="4"/>
  <c r="D6" i="2"/>
  <c r="C6" i="2"/>
  <c r="F12" i="2"/>
  <c r="E14" i="2"/>
  <c r="E15" i="2" s="1"/>
  <c r="D14" i="2"/>
  <c r="C14" i="2"/>
  <c r="E6" i="2"/>
  <c r="E7" i="2" s="1"/>
  <c r="G3" i="7" l="1"/>
</calcChain>
</file>

<file path=xl/sharedStrings.xml><?xml version="1.0" encoding="utf-8"?>
<sst xmlns="http://schemas.openxmlformats.org/spreadsheetml/2006/main" count="99" uniqueCount="13">
  <si>
    <t xml:space="preserve">          Reference</t>
  </si>
  <si>
    <t>Prediction</t>
  </si>
  <si>
    <t>Total Error</t>
  </si>
  <si>
    <t xml:space="preserve">Test - </t>
  </si>
  <si>
    <t>False Neg</t>
  </si>
  <si>
    <t>False Pos.</t>
  </si>
  <si>
    <t>Test -  Non older americans</t>
  </si>
  <si>
    <t>Test - Overall Data</t>
  </si>
  <si>
    <t>Test - is_older_american</t>
  </si>
  <si>
    <t>Test - Full Dataset</t>
  </si>
  <si>
    <t>Test -  Proportion Black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</si>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</sst>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164" fontId="0" fillId="0" borderId="0" xfId="0" applyNumberFormat="1"/>
    <xf numFmtId="1" fontId="0" fillId="3" borderId="1" xfId="0" applyNumberFormat="1" applyFill="1" applyBorder="1"/>
    <xf numFmtId="165" fontId="0" fillId="0" borderId="0" xfId="0" applyNumberFormat="1"/>
    <xf numFmtId="10" fontId="0" fillId="0" borderId="0" xfId="0" applyNumberFormat="1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1954-EDEB-F848-A538-5BC73681F1AA}">
  <dimension ref="A1:G17"/>
  <sheetViews>
    <sheetView workbookViewId="0">
      <selection activeCell="F3" sqref="F3"/>
    </sheetView>
  </sheetViews>
  <sheetFormatPr baseColWidth="10" defaultRowHeight="16" x14ac:dyDescent="0.2"/>
  <cols>
    <col min="6" max="6" width="9.5" bestFit="1" customWidth="1"/>
  </cols>
  <sheetData>
    <row r="1" spans="1:7" x14ac:dyDescent="0.2">
      <c r="A1" s="13" t="s">
        <v>7</v>
      </c>
      <c r="B1" s="13"/>
      <c r="C1" s="13"/>
      <c r="D1" s="13"/>
    </row>
    <row r="2" spans="1:7" x14ac:dyDescent="0.2">
      <c r="A2" s="5"/>
      <c r="B2" s="6"/>
      <c r="C2" s="14" t="s">
        <v>0</v>
      </c>
      <c r="D2" s="14"/>
    </row>
    <row r="3" spans="1:7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0.56530009131296444</v>
      </c>
    </row>
    <row r="4" spans="1:7" x14ac:dyDescent="0.2">
      <c r="A4" s="15" t="s">
        <v>1</v>
      </c>
      <c r="B4" s="2">
        <v>0</v>
      </c>
      <c r="C4" s="3">
        <v>21174</v>
      </c>
      <c r="D4" s="4">
        <v>4919</v>
      </c>
      <c r="F4" s="9">
        <f>1-D6</f>
        <v>0.40620473201352003</v>
      </c>
    </row>
    <row r="5" spans="1:7" x14ac:dyDescent="0.2">
      <c r="A5" s="15"/>
      <c r="B5" s="2">
        <v>1</v>
      </c>
      <c r="C5" s="4">
        <v>1612</v>
      </c>
      <c r="D5" s="3">
        <v>3365</v>
      </c>
      <c r="F5" s="9">
        <f>1-C6</f>
        <v>0.92925480558237517</v>
      </c>
    </row>
    <row r="6" spans="1:7" x14ac:dyDescent="0.2">
      <c r="C6" s="1">
        <f>C5/SUM(C4:C5)</f>
        <v>7.0745194417624863E-2</v>
      </c>
      <c r="D6" s="1">
        <f>D4/SUM(D4:D5)</f>
        <v>0.59379526798647997</v>
      </c>
      <c r="E6" s="1">
        <f>(C5+D4)/SUM(C4:D5)</f>
        <v>0.21020276794335371</v>
      </c>
      <c r="F6" t="s">
        <v>2</v>
      </c>
    </row>
    <row r="7" spans="1:7" x14ac:dyDescent="0.2">
      <c r="C7" t="s">
        <v>5</v>
      </c>
      <c r="D7" t="s">
        <v>4</v>
      </c>
      <c r="E7" s="12">
        <f>1-E6</f>
        <v>0.78979723205664631</v>
      </c>
    </row>
    <row r="9" spans="1:7" x14ac:dyDescent="0.2">
      <c r="A9" s="13" t="s">
        <v>8</v>
      </c>
      <c r="B9" s="13"/>
      <c r="C9" s="13"/>
      <c r="D9" s="13"/>
    </row>
    <row r="10" spans="1:7" x14ac:dyDescent="0.2">
      <c r="A10" s="5"/>
      <c r="B10" s="6"/>
      <c r="C10" s="14" t="s">
        <v>0</v>
      </c>
      <c r="D10" s="14"/>
    </row>
    <row r="11" spans="1:7" x14ac:dyDescent="0.2">
      <c r="A11" s="7"/>
      <c r="B11" s="8"/>
      <c r="C11" s="2">
        <v>0</v>
      </c>
      <c r="D11" s="2">
        <v>1</v>
      </c>
    </row>
    <row r="12" spans="1:7" x14ac:dyDescent="0.2">
      <c r="A12" s="15" t="s">
        <v>1</v>
      </c>
      <c r="B12" s="2">
        <v>0</v>
      </c>
      <c r="C12" s="3">
        <v>847</v>
      </c>
      <c r="D12" s="4">
        <v>184</v>
      </c>
      <c r="F12">
        <f>SUM(C12:D13)</f>
        <v>1158</v>
      </c>
    </row>
    <row r="13" spans="1:7" x14ac:dyDescent="0.2">
      <c r="A13" s="15"/>
      <c r="B13" s="2">
        <v>1</v>
      </c>
      <c r="C13" s="4">
        <v>52</v>
      </c>
      <c r="D13" s="3">
        <v>75</v>
      </c>
    </row>
    <row r="14" spans="1:7" x14ac:dyDescent="0.2">
      <c r="C14" s="1">
        <f>C13/SUM(C12:C13)</f>
        <v>5.7842046718576193E-2</v>
      </c>
      <c r="D14" s="1">
        <f>D12/SUM(D12:D13)</f>
        <v>0.71042471042471045</v>
      </c>
      <c r="E14" s="1">
        <f>(C13+D12)/SUM(C12:D13)</f>
        <v>0.20379965457685664</v>
      </c>
      <c r="F14" t="s">
        <v>2</v>
      </c>
    </row>
    <row r="15" spans="1:7" x14ac:dyDescent="0.2">
      <c r="C15" t="s">
        <v>5</v>
      </c>
      <c r="D15" t="s">
        <v>4</v>
      </c>
      <c r="E15" s="9">
        <f>1-E14</f>
        <v>0.79620034542314333</v>
      </c>
    </row>
    <row r="17" spans="3:4" x14ac:dyDescent="0.2">
      <c r="C17">
        <f>SUM(C12:C13)</f>
        <v>899</v>
      </c>
      <c r="D17">
        <f>SUM(D12:D13)</f>
        <v>259</v>
      </c>
    </row>
  </sheetData>
  <mergeCells count="6">
    <mergeCell ref="A9:D9"/>
    <mergeCell ref="C10:D10"/>
    <mergeCell ref="A12:A13"/>
    <mergeCell ref="A1:D1"/>
    <mergeCell ref="C2:D2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32BF-083F-E140-9709-41EBB8B5BAF1}">
  <dimension ref="A1:G17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s="13" t="s">
        <v>7</v>
      </c>
      <c r="B1" s="13"/>
      <c r="C1" s="13"/>
      <c r="D1" s="13"/>
    </row>
    <row r="2" spans="1:7" x14ac:dyDescent="0.2">
      <c r="A2" s="5"/>
      <c r="B2" s="6"/>
      <c r="C2" s="14" t="s">
        <v>0</v>
      </c>
      <c r="D2" s="14"/>
    </row>
    <row r="3" spans="1:7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0.50876963493805327</v>
      </c>
    </row>
    <row r="4" spans="1:7" x14ac:dyDescent="0.2">
      <c r="A4" s="15" t="s">
        <v>1</v>
      </c>
      <c r="B4" s="2">
        <v>0</v>
      </c>
      <c r="C4" s="3">
        <v>21443</v>
      </c>
      <c r="D4" s="4">
        <v>5396</v>
      </c>
      <c r="F4" s="9">
        <f>1-D6</f>
        <v>0.34862385321100919</v>
      </c>
    </row>
    <row r="5" spans="1:7" x14ac:dyDescent="0.2">
      <c r="A5" s="15"/>
      <c r="B5" s="2">
        <v>1</v>
      </c>
      <c r="C5" s="4">
        <v>1343</v>
      </c>
      <c r="D5" s="3">
        <v>2888</v>
      </c>
      <c r="F5" s="9">
        <f>1-C6</f>
        <v>0.94106030018432374</v>
      </c>
    </row>
    <row r="6" spans="1:7" x14ac:dyDescent="0.2">
      <c r="C6" s="1">
        <f>C5/SUM(C4:C5)</f>
        <v>5.8939699815676296E-2</v>
      </c>
      <c r="D6" s="1">
        <f>D4/SUM(D4:D5)</f>
        <v>0.65137614678899081</v>
      </c>
      <c r="E6" s="1">
        <f>(C5+D4)/SUM(C4:D5)</f>
        <v>0.21689732861280978</v>
      </c>
      <c r="F6" t="s">
        <v>2</v>
      </c>
      <c r="G6" s="9"/>
    </row>
    <row r="7" spans="1:7" x14ac:dyDescent="0.2">
      <c r="C7" t="s">
        <v>5</v>
      </c>
      <c r="D7" t="s">
        <v>4</v>
      </c>
      <c r="E7" s="12">
        <f>1-E6</f>
        <v>0.78310267138719025</v>
      </c>
    </row>
    <row r="9" spans="1:7" x14ac:dyDescent="0.2">
      <c r="A9" s="13" t="s">
        <v>8</v>
      </c>
      <c r="B9" s="13"/>
      <c r="C9" s="13"/>
      <c r="D9" s="13"/>
    </row>
    <row r="10" spans="1:7" x14ac:dyDescent="0.2">
      <c r="A10" s="5"/>
      <c r="B10" s="6"/>
      <c r="C10" s="14" t="s">
        <v>0</v>
      </c>
      <c r="D10" s="14"/>
    </row>
    <row r="11" spans="1:7" x14ac:dyDescent="0.2">
      <c r="A11" s="7"/>
      <c r="B11" s="8"/>
      <c r="C11" s="2">
        <v>0</v>
      </c>
      <c r="D11" s="2">
        <v>1</v>
      </c>
      <c r="F11" t="s">
        <v>12</v>
      </c>
      <c r="G11" t="e">
        <f>2*(F12*F13)/(F12+F13)</f>
        <v>#DIV/0!</v>
      </c>
    </row>
    <row r="12" spans="1:7" x14ac:dyDescent="0.2">
      <c r="A12" s="15" t="s">
        <v>1</v>
      </c>
      <c r="B12" s="2">
        <v>0</v>
      </c>
      <c r="C12" s="3"/>
      <c r="D12" s="4"/>
      <c r="F12" s="9" t="e">
        <f>1-D14</f>
        <v>#DIV/0!</v>
      </c>
    </row>
    <row r="13" spans="1:7" x14ac:dyDescent="0.2">
      <c r="A13" s="15"/>
      <c r="B13" s="2">
        <v>1</v>
      </c>
      <c r="C13" s="4"/>
      <c r="D13" s="3"/>
      <c r="F13" s="9" t="e">
        <f>1-C14</f>
        <v>#DIV/0!</v>
      </c>
    </row>
    <row r="14" spans="1:7" x14ac:dyDescent="0.2">
      <c r="C14" s="1" t="e">
        <f>C13/SUM(C12:C13)</f>
        <v>#DIV/0!</v>
      </c>
      <c r="D14" s="1" t="e">
        <f>D12/SUM(D12:D13)</f>
        <v>#DIV/0!</v>
      </c>
      <c r="E14" s="1" t="e">
        <f>(C13+D12)/SUM(C12:D13)</f>
        <v>#DIV/0!</v>
      </c>
      <c r="F14" t="s">
        <v>2</v>
      </c>
    </row>
    <row r="15" spans="1:7" x14ac:dyDescent="0.2">
      <c r="C15" t="s">
        <v>5</v>
      </c>
      <c r="D15" t="s">
        <v>4</v>
      </c>
      <c r="E15" s="9" t="e">
        <f>1-E14</f>
        <v>#DIV/0!</v>
      </c>
    </row>
    <row r="17" spans="3:4" x14ac:dyDescent="0.2">
      <c r="C17">
        <f>SUM(C12:C13)</f>
        <v>0</v>
      </c>
      <c r="D17">
        <f>SUM(D12:D13)</f>
        <v>0</v>
      </c>
    </row>
  </sheetData>
  <mergeCells count="6"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490A-0D90-7843-B387-E7186D2304A2}">
  <dimension ref="A1:L15"/>
  <sheetViews>
    <sheetView workbookViewId="0">
      <selection activeCell="D5" sqref="D5"/>
    </sheetView>
  </sheetViews>
  <sheetFormatPr baseColWidth="10" defaultRowHeight="16" x14ac:dyDescent="0.2"/>
  <cols>
    <col min="8" max="8" width="19.33203125" bestFit="1" customWidth="1"/>
  </cols>
  <sheetData>
    <row r="1" spans="1:12" x14ac:dyDescent="0.2">
      <c r="A1" s="13" t="s">
        <v>7</v>
      </c>
      <c r="B1" s="13"/>
      <c r="C1" s="13"/>
      <c r="D1" s="13"/>
    </row>
    <row r="2" spans="1:12" x14ac:dyDescent="0.2">
      <c r="A2" s="5"/>
      <c r="B2" s="6"/>
      <c r="C2" s="14" t="s">
        <v>0</v>
      </c>
      <c r="D2" s="14"/>
    </row>
    <row r="3" spans="1:12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0.45429604452355193</v>
      </c>
    </row>
    <row r="4" spans="1:12" x14ac:dyDescent="0.2">
      <c r="A4" s="15" t="s">
        <v>1</v>
      </c>
      <c r="B4" s="2">
        <v>0</v>
      </c>
      <c r="C4" s="3">
        <v>44302</v>
      </c>
      <c r="D4" s="4">
        <v>11399</v>
      </c>
      <c r="F4" s="9">
        <f>1-D6</f>
        <v>0.29618424302296864</v>
      </c>
    </row>
    <row r="5" spans="1:12" x14ac:dyDescent="0.2">
      <c r="A5" s="15"/>
      <c r="B5" s="2">
        <v>1</v>
      </c>
      <c r="C5" s="4">
        <v>1158</v>
      </c>
      <c r="D5" s="3">
        <v>4797</v>
      </c>
      <c r="F5" s="9">
        <f>1-C6</f>
        <v>0.97452705675318962</v>
      </c>
    </row>
    <row r="6" spans="1:12" x14ac:dyDescent="0.2">
      <c r="C6" s="1">
        <f>C5/SUM(C4:C5)</f>
        <v>2.5472943246810383E-2</v>
      </c>
      <c r="D6" s="1">
        <f>D4/SUM(D4:D5)</f>
        <v>0.70381575697703136</v>
      </c>
      <c r="E6" s="1">
        <f>(C5+D4)/SUM(C4:D5)</f>
        <v>0.2036622550927728</v>
      </c>
      <c r="F6" t="s">
        <v>2</v>
      </c>
    </row>
    <row r="7" spans="1:12" x14ac:dyDescent="0.2">
      <c r="C7" t="s">
        <v>5</v>
      </c>
      <c r="D7" t="s">
        <v>4</v>
      </c>
      <c r="E7" s="9">
        <f>1-E6</f>
        <v>0.7963377449072272</v>
      </c>
      <c r="H7" s="11"/>
    </row>
    <row r="8" spans="1:12" x14ac:dyDescent="0.2">
      <c r="J8">
        <v>0</v>
      </c>
      <c r="K8">
        <v>44302</v>
      </c>
      <c r="L8">
        <v>11399</v>
      </c>
    </row>
    <row r="9" spans="1:12" x14ac:dyDescent="0.2">
      <c r="A9" s="13" t="s">
        <v>8</v>
      </c>
      <c r="B9" s="13"/>
      <c r="C9" s="13"/>
      <c r="D9" s="13"/>
      <c r="J9">
        <v>1</v>
      </c>
      <c r="K9">
        <v>1158</v>
      </c>
      <c r="L9">
        <v>4797</v>
      </c>
    </row>
    <row r="10" spans="1:12" x14ac:dyDescent="0.2">
      <c r="A10" s="5"/>
      <c r="B10" s="6"/>
      <c r="C10" s="14" t="s">
        <v>0</v>
      </c>
      <c r="D10" s="14"/>
    </row>
    <row r="11" spans="1:12" x14ac:dyDescent="0.2">
      <c r="A11" s="7"/>
      <c r="B11" s="8"/>
      <c r="C11" s="2">
        <v>0</v>
      </c>
      <c r="D11" s="2">
        <v>1</v>
      </c>
    </row>
    <row r="12" spans="1:12" x14ac:dyDescent="0.2">
      <c r="A12" s="15" t="s">
        <v>1</v>
      </c>
      <c r="B12" s="2">
        <v>0</v>
      </c>
      <c r="C12" s="3">
        <v>892</v>
      </c>
      <c r="D12" s="4">
        <v>221</v>
      </c>
      <c r="F12">
        <f>SUM(C12:D13)</f>
        <v>1158</v>
      </c>
    </row>
    <row r="13" spans="1:12" x14ac:dyDescent="0.2">
      <c r="A13" s="15"/>
      <c r="B13" s="2">
        <v>1</v>
      </c>
      <c r="C13" s="4">
        <v>7</v>
      </c>
      <c r="D13" s="3">
        <v>38</v>
      </c>
    </row>
    <row r="14" spans="1:12" x14ac:dyDescent="0.2">
      <c r="C14" s="1">
        <f>C13/SUM(C12:C13)</f>
        <v>7.7864293659621799E-3</v>
      </c>
      <c r="D14" s="1">
        <f>D12/SUM(D12:D13)</f>
        <v>0.85328185328185324</v>
      </c>
      <c r="E14" s="1">
        <f>(C13+D12)/SUM(C12:D13)</f>
        <v>0.19689119170984457</v>
      </c>
      <c r="F14" t="s">
        <v>2</v>
      </c>
    </row>
    <row r="15" spans="1:12" x14ac:dyDescent="0.2">
      <c r="C15" t="s">
        <v>5</v>
      </c>
      <c r="D15" t="s">
        <v>4</v>
      </c>
      <c r="E15" s="9">
        <f>1-E14</f>
        <v>0.80310880829015541</v>
      </c>
    </row>
  </sheetData>
  <mergeCells count="6"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43C6-638B-2444-A0E5-8D9E62FB83B8}">
  <dimension ref="A1:H15"/>
  <sheetViews>
    <sheetView workbookViewId="0">
      <selection activeCell="F3" sqref="F3:G5"/>
    </sheetView>
  </sheetViews>
  <sheetFormatPr baseColWidth="10" defaultRowHeight="16" x14ac:dyDescent="0.2"/>
  <sheetData>
    <row r="1" spans="1:8" x14ac:dyDescent="0.2">
      <c r="A1" s="13" t="s">
        <v>3</v>
      </c>
      <c r="B1" s="13"/>
      <c r="C1" s="13"/>
      <c r="D1" s="13"/>
    </row>
    <row r="2" spans="1:8" x14ac:dyDescent="0.2">
      <c r="A2" s="5"/>
      <c r="B2" s="6"/>
      <c r="C2" s="14" t="s">
        <v>0</v>
      </c>
      <c r="D2" s="14"/>
    </row>
    <row r="3" spans="1:8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0.60570329893038122</v>
      </c>
    </row>
    <row r="4" spans="1:8" x14ac:dyDescent="0.2">
      <c r="A4" s="15" t="s">
        <v>1</v>
      </c>
      <c r="B4" s="2">
        <v>0</v>
      </c>
      <c r="C4" s="3">
        <v>21314</v>
      </c>
      <c r="D4" s="4">
        <v>4574</v>
      </c>
      <c r="F4" s="9">
        <f>1-D6</f>
        <v>0.44785127957508453</v>
      </c>
    </row>
    <row r="5" spans="1:8" x14ac:dyDescent="0.2">
      <c r="A5" s="15"/>
      <c r="B5" s="2">
        <v>1</v>
      </c>
      <c r="C5" s="4">
        <v>1472</v>
      </c>
      <c r="D5" s="3">
        <v>3710</v>
      </c>
      <c r="F5" s="9">
        <f>1-C6</f>
        <v>0.93539892916703238</v>
      </c>
    </row>
    <row r="6" spans="1:8" x14ac:dyDescent="0.2">
      <c r="C6" s="1">
        <f>C5/SUM(C4:C5)</f>
        <v>6.4601070832967608E-2</v>
      </c>
      <c r="D6" s="1">
        <f>D4/SUM(D4:D5)</f>
        <v>0.55214872042491547</v>
      </c>
      <c r="E6" s="1">
        <f>(C5+D4)/SUM(C4:D5)</f>
        <v>0.19459285484390088</v>
      </c>
      <c r="F6" t="s">
        <v>2</v>
      </c>
      <c r="G6" t="s">
        <v>11</v>
      </c>
      <c r="H6">
        <f>D5/SUM(D4:D5)</f>
        <v>0.44785127957508453</v>
      </c>
    </row>
    <row r="7" spans="1:8" x14ac:dyDescent="0.2">
      <c r="C7" t="s">
        <v>5</v>
      </c>
      <c r="D7" t="s">
        <v>4</v>
      </c>
      <c r="E7" s="9">
        <f>1-E6</f>
        <v>0.80540714515609912</v>
      </c>
    </row>
    <row r="9" spans="1:8" x14ac:dyDescent="0.2">
      <c r="A9" s="13" t="s">
        <v>6</v>
      </c>
      <c r="B9" s="13"/>
      <c r="C9" s="13"/>
      <c r="D9" s="13"/>
    </row>
    <row r="10" spans="1:8" x14ac:dyDescent="0.2">
      <c r="A10" s="5"/>
      <c r="B10" s="6"/>
      <c r="C10" s="14" t="s">
        <v>0</v>
      </c>
      <c r="D10" s="14"/>
    </row>
    <row r="11" spans="1:8" x14ac:dyDescent="0.2">
      <c r="A11" s="7"/>
      <c r="B11" s="8"/>
      <c r="C11" s="2">
        <v>0</v>
      </c>
      <c r="D11" s="2">
        <v>1</v>
      </c>
    </row>
    <row r="12" spans="1:8" x14ac:dyDescent="0.2">
      <c r="A12" s="15" t="s">
        <v>1</v>
      </c>
      <c r="B12" s="2">
        <v>0</v>
      </c>
      <c r="C12" s="3">
        <v>861</v>
      </c>
      <c r="D12" s="4">
        <v>183</v>
      </c>
      <c r="F12">
        <f>SUM(C12:D13)</f>
        <v>1158</v>
      </c>
    </row>
    <row r="13" spans="1:8" x14ac:dyDescent="0.2">
      <c r="A13" s="15"/>
      <c r="B13" s="2">
        <v>1</v>
      </c>
      <c r="C13" s="4">
        <v>38</v>
      </c>
      <c r="D13" s="10">
        <v>76</v>
      </c>
    </row>
    <row r="14" spans="1:8" x14ac:dyDescent="0.2">
      <c r="C14" s="1">
        <f>C13/SUM(C12:C13)</f>
        <v>4.2269187986651836E-2</v>
      </c>
      <c r="D14" s="1">
        <f>D12/SUM(D12:D13)</f>
        <v>0.70656370656370659</v>
      </c>
      <c r="E14" s="1">
        <f>(C13+D12)/SUM(C12:D13)</f>
        <v>0.19084628670120898</v>
      </c>
      <c r="F14" t="s">
        <v>2</v>
      </c>
    </row>
    <row r="15" spans="1:8" x14ac:dyDescent="0.2">
      <c r="C15" t="s">
        <v>5</v>
      </c>
      <c r="D15" t="s">
        <v>4</v>
      </c>
      <c r="E15" s="9">
        <f>1-E14</f>
        <v>0.80915371329879104</v>
      </c>
    </row>
  </sheetData>
  <mergeCells count="6"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B164-21FC-2749-81C6-202A679DB7EF}">
  <dimension ref="A1:G23"/>
  <sheetViews>
    <sheetView tabSelected="1" workbookViewId="0">
      <selection activeCell="F3" sqref="F3:G5"/>
    </sheetView>
  </sheetViews>
  <sheetFormatPr baseColWidth="10" defaultRowHeight="16" x14ac:dyDescent="0.2"/>
  <sheetData>
    <row r="1" spans="1:7" x14ac:dyDescent="0.2">
      <c r="A1" s="13" t="s">
        <v>3</v>
      </c>
      <c r="B1" s="13"/>
      <c r="C1" s="13"/>
      <c r="D1" s="13"/>
    </row>
    <row r="2" spans="1:7" x14ac:dyDescent="0.2">
      <c r="A2" s="5"/>
      <c r="B2" s="6"/>
      <c r="C2" s="14" t="s">
        <v>0</v>
      </c>
      <c r="D2" s="14"/>
    </row>
    <row r="3" spans="1:7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0.60570329893038122</v>
      </c>
    </row>
    <row r="4" spans="1:7" x14ac:dyDescent="0.2">
      <c r="A4" s="15" t="s">
        <v>1</v>
      </c>
      <c r="B4" s="2">
        <v>0</v>
      </c>
      <c r="C4" s="3">
        <v>21314</v>
      </c>
      <c r="D4" s="4">
        <v>4574</v>
      </c>
      <c r="F4" s="9">
        <f>1-D6</f>
        <v>0.44785127957508453</v>
      </c>
    </row>
    <row r="5" spans="1:7" x14ac:dyDescent="0.2">
      <c r="A5" s="15"/>
      <c r="B5" s="2">
        <v>1</v>
      </c>
      <c r="C5" s="4">
        <v>1472</v>
      </c>
      <c r="D5" s="3">
        <v>3710</v>
      </c>
      <c r="F5" s="9">
        <f>1-C6</f>
        <v>0.93539892916703238</v>
      </c>
    </row>
    <row r="6" spans="1:7" x14ac:dyDescent="0.2">
      <c r="C6" s="1">
        <f>C5/SUM(C4:C5)</f>
        <v>6.4601070832967608E-2</v>
      </c>
      <c r="D6" s="1">
        <f>D4/SUM(D4:D5)</f>
        <v>0.55214872042491547</v>
      </c>
      <c r="E6" s="1">
        <f>(C5+D4)/SUM(C4:D5)</f>
        <v>0.19459285484390088</v>
      </c>
      <c r="F6" t="s">
        <v>2</v>
      </c>
    </row>
    <row r="7" spans="1:7" x14ac:dyDescent="0.2">
      <c r="C7" t="s">
        <v>5</v>
      </c>
      <c r="D7" t="s">
        <v>4</v>
      </c>
      <c r="E7" s="9">
        <f>1-E6</f>
        <v>0.80540714515609912</v>
      </c>
    </row>
    <row r="9" spans="1:7" x14ac:dyDescent="0.2">
      <c r="A9" s="13" t="s">
        <v>6</v>
      </c>
      <c r="B9" s="13"/>
      <c r="C9" s="13"/>
      <c r="D9" s="13"/>
    </row>
    <row r="10" spans="1:7" x14ac:dyDescent="0.2">
      <c r="A10" s="5"/>
      <c r="B10" s="6"/>
      <c r="C10" s="14" t="s">
        <v>0</v>
      </c>
      <c r="D10" s="14"/>
    </row>
    <row r="11" spans="1:7" x14ac:dyDescent="0.2">
      <c r="A11" s="7"/>
      <c r="B11" s="8"/>
      <c r="C11" s="2">
        <v>0</v>
      </c>
      <c r="D11" s="2">
        <v>1</v>
      </c>
    </row>
    <row r="12" spans="1:7" x14ac:dyDescent="0.2">
      <c r="A12" s="15" t="s">
        <v>1</v>
      </c>
      <c r="B12" s="2">
        <v>0</v>
      </c>
      <c r="C12" s="3">
        <v>861</v>
      </c>
      <c r="D12" s="4">
        <v>180</v>
      </c>
      <c r="F12">
        <f>SUM(C12:D13)</f>
        <v>1158</v>
      </c>
    </row>
    <row r="13" spans="1:7" x14ac:dyDescent="0.2">
      <c r="A13" s="15"/>
      <c r="B13" s="2">
        <v>1</v>
      </c>
      <c r="C13" s="4">
        <v>38</v>
      </c>
      <c r="D13" s="10">
        <v>79</v>
      </c>
    </row>
    <row r="14" spans="1:7" x14ac:dyDescent="0.2">
      <c r="C14" s="1">
        <f>C13/SUM(C12:C13)</f>
        <v>4.2269187986651836E-2</v>
      </c>
      <c r="D14" s="1">
        <f>D12/SUM(D12:D13)</f>
        <v>0.69498069498069504</v>
      </c>
      <c r="E14" s="1">
        <f>(C13+D12)/SUM(C12:D13)</f>
        <v>0.18825561312607944</v>
      </c>
      <c r="F14" t="s">
        <v>2</v>
      </c>
    </row>
    <row r="15" spans="1:7" x14ac:dyDescent="0.2">
      <c r="C15" t="s">
        <v>5</v>
      </c>
      <c r="D15" t="s">
        <v>4</v>
      </c>
      <c r="E15" s="9">
        <f>1-E14</f>
        <v>0.81174438687392059</v>
      </c>
    </row>
    <row r="17" spans="1:6" x14ac:dyDescent="0.2">
      <c r="A17" s="13" t="s">
        <v>10</v>
      </c>
      <c r="B17" s="13"/>
      <c r="C17" s="13"/>
      <c r="D17" s="13"/>
    </row>
    <row r="18" spans="1:6" x14ac:dyDescent="0.2">
      <c r="A18" s="5"/>
      <c r="B18" s="6"/>
      <c r="C18" s="14" t="s">
        <v>0</v>
      </c>
      <c r="D18" s="14"/>
    </row>
    <row r="19" spans="1:6" x14ac:dyDescent="0.2">
      <c r="A19" s="7"/>
      <c r="B19" s="8"/>
      <c r="C19" s="2">
        <v>0</v>
      </c>
      <c r="D19" s="2">
        <v>1</v>
      </c>
    </row>
    <row r="20" spans="1:6" x14ac:dyDescent="0.2">
      <c r="A20" s="15" t="s">
        <v>1</v>
      </c>
      <c r="B20" s="2">
        <v>0</v>
      </c>
      <c r="C20" s="3">
        <v>10188</v>
      </c>
      <c r="D20" s="4">
        <v>2541</v>
      </c>
      <c r="F20">
        <f>SUM(C20:D21)</f>
        <v>14944</v>
      </c>
    </row>
    <row r="21" spans="1:6" x14ac:dyDescent="0.2">
      <c r="A21" s="15"/>
      <c r="B21" s="2">
        <v>1</v>
      </c>
      <c r="C21" s="4">
        <v>680</v>
      </c>
      <c r="D21" s="10">
        <v>1535</v>
      </c>
    </row>
    <row r="22" spans="1:6" x14ac:dyDescent="0.2">
      <c r="C22" s="1">
        <f>C21/SUM(C20:C21)</f>
        <v>6.2569009937430989E-2</v>
      </c>
      <c r="D22" s="1">
        <f>D20/SUM(D20:D21)</f>
        <v>0.623405299313052</v>
      </c>
      <c r="E22" s="1">
        <f>(C21+D20)/SUM(C20:D21)</f>
        <v>0.2155380085653105</v>
      </c>
      <c r="F22" t="s">
        <v>2</v>
      </c>
    </row>
    <row r="23" spans="1:6" x14ac:dyDescent="0.2">
      <c r="C23" t="s">
        <v>5</v>
      </c>
      <c r="D23" t="s">
        <v>4</v>
      </c>
      <c r="E23" s="9">
        <f>1-E22</f>
        <v>0.78446199143468953</v>
      </c>
    </row>
  </sheetData>
  <mergeCells count="9">
    <mergeCell ref="A17:D17"/>
    <mergeCell ref="C18:D18"/>
    <mergeCell ref="A20:A21"/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6E7A-24EB-554D-8AE4-2B2BE8923685}">
  <dimension ref="A1:G15"/>
  <sheetViews>
    <sheetView workbookViewId="0">
      <selection activeCell="F3" sqref="F3:G5"/>
    </sheetView>
  </sheetViews>
  <sheetFormatPr baseColWidth="10" defaultRowHeight="16" x14ac:dyDescent="0.2"/>
  <sheetData>
    <row r="1" spans="1:7" x14ac:dyDescent="0.2">
      <c r="A1" s="13" t="s">
        <v>9</v>
      </c>
      <c r="B1" s="13"/>
      <c r="C1" s="13"/>
      <c r="D1" s="13"/>
    </row>
    <row r="2" spans="1:7" x14ac:dyDescent="0.2">
      <c r="A2" s="5"/>
      <c r="B2" s="6"/>
      <c r="C2" s="14" t="s">
        <v>0</v>
      </c>
      <c r="D2" s="14"/>
    </row>
    <row r="3" spans="1:7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0.53131156729656837</v>
      </c>
    </row>
    <row r="4" spans="1:7" x14ac:dyDescent="0.2">
      <c r="A4" s="15" t="s">
        <v>1</v>
      </c>
      <c r="B4" s="2">
        <v>0</v>
      </c>
      <c r="C4" s="3">
        <v>21203</v>
      </c>
      <c r="D4" s="4">
        <v>5204</v>
      </c>
      <c r="F4" s="9">
        <f>1-D6</f>
        <v>0.37180106228874943</v>
      </c>
    </row>
    <row r="5" spans="1:7" x14ac:dyDescent="0.2">
      <c r="A5" s="15"/>
      <c r="B5" s="2">
        <v>1</v>
      </c>
      <c r="C5" s="4">
        <v>1583</v>
      </c>
      <c r="D5" s="3">
        <v>3080</v>
      </c>
      <c r="F5" s="9">
        <f>1-C6</f>
        <v>0.93052751689633983</v>
      </c>
    </row>
    <row r="6" spans="1:7" x14ac:dyDescent="0.2">
      <c r="C6" s="1">
        <f>C5/SUM(C4:C5)</f>
        <v>6.9472483103660138E-2</v>
      </c>
      <c r="D6" s="1">
        <f>D4/SUM(D4:D5)</f>
        <v>0.62819893771125057</v>
      </c>
      <c r="E6" s="1">
        <f>(C5+D4)/SUM(C4:D5)</f>
        <v>0.2184422272288381</v>
      </c>
      <c r="F6" t="s">
        <v>2</v>
      </c>
    </row>
    <row r="7" spans="1:7" x14ac:dyDescent="0.2">
      <c r="C7" t="s">
        <v>5</v>
      </c>
      <c r="D7" t="s">
        <v>4</v>
      </c>
      <c r="E7" s="9">
        <f>1-E6</f>
        <v>0.7815577727711619</v>
      </c>
    </row>
    <row r="9" spans="1:7" x14ac:dyDescent="0.2">
      <c r="A9" s="13" t="s">
        <v>6</v>
      </c>
      <c r="B9" s="13"/>
      <c r="C9" s="13"/>
      <c r="D9" s="13"/>
    </row>
    <row r="10" spans="1:7" x14ac:dyDescent="0.2">
      <c r="A10" s="5"/>
      <c r="B10" s="6"/>
      <c r="C10" s="14" t="s">
        <v>0</v>
      </c>
      <c r="D10" s="14"/>
    </row>
    <row r="11" spans="1:7" x14ac:dyDescent="0.2">
      <c r="A11" s="7"/>
      <c r="B11" s="8"/>
      <c r="C11" s="2">
        <v>0</v>
      </c>
      <c r="D11" s="2">
        <v>1</v>
      </c>
    </row>
    <row r="12" spans="1:7" x14ac:dyDescent="0.2">
      <c r="A12" s="15" t="s">
        <v>1</v>
      </c>
      <c r="B12" s="2">
        <v>0</v>
      </c>
      <c r="C12" s="3">
        <v>850</v>
      </c>
      <c r="D12" s="4">
        <v>197</v>
      </c>
      <c r="F12">
        <f>SUM(C12:D13)</f>
        <v>1158</v>
      </c>
    </row>
    <row r="13" spans="1:7" x14ac:dyDescent="0.2">
      <c r="A13" s="15"/>
      <c r="B13" s="2">
        <v>1</v>
      </c>
      <c r="C13" s="4">
        <v>49</v>
      </c>
      <c r="D13" s="10">
        <v>62</v>
      </c>
    </row>
    <row r="14" spans="1:7" x14ac:dyDescent="0.2">
      <c r="C14" s="1">
        <f>C13/SUM(C12:C13)</f>
        <v>5.4505005561735265E-2</v>
      </c>
      <c r="D14" s="1">
        <f>D12/SUM(D12:D13)</f>
        <v>0.76061776061776065</v>
      </c>
      <c r="E14" s="1">
        <f>(C13+D12)/SUM(C12:D13)</f>
        <v>0.21243523316062177</v>
      </c>
      <c r="F14" t="s">
        <v>2</v>
      </c>
    </row>
    <row r="15" spans="1:7" x14ac:dyDescent="0.2">
      <c r="C15" t="s">
        <v>5</v>
      </c>
      <c r="D15" t="s">
        <v>4</v>
      </c>
      <c r="E15" s="9">
        <f>1-E14</f>
        <v>0.78756476683937826</v>
      </c>
    </row>
  </sheetData>
  <mergeCells count="6"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BDEE-21FC-854D-930A-6DB3F5A7C024}">
  <dimension ref="A1:H17"/>
  <sheetViews>
    <sheetView workbookViewId="0">
      <selection activeCell="F3" sqref="F3:G5"/>
    </sheetView>
  </sheetViews>
  <sheetFormatPr baseColWidth="10" defaultRowHeight="16" x14ac:dyDescent="0.2"/>
  <cols>
    <col min="8" max="8" width="19.33203125" bestFit="1" customWidth="1"/>
  </cols>
  <sheetData>
    <row r="1" spans="1:8" x14ac:dyDescent="0.2">
      <c r="A1" s="13" t="s">
        <v>7</v>
      </c>
      <c r="B1" s="13"/>
      <c r="C1" s="13"/>
      <c r="D1" s="13"/>
    </row>
    <row r="2" spans="1:8" x14ac:dyDescent="0.2">
      <c r="A2" s="5"/>
      <c r="B2" s="6"/>
      <c r="C2" s="14" t="s">
        <v>0</v>
      </c>
      <c r="D2" s="14"/>
    </row>
    <row r="3" spans="1:8" x14ac:dyDescent="0.2">
      <c r="A3" s="7"/>
      <c r="B3" s="8"/>
      <c r="C3" s="2">
        <v>0</v>
      </c>
      <c r="D3" s="2">
        <v>1</v>
      </c>
      <c r="F3" t="s">
        <v>12</v>
      </c>
      <c r="G3">
        <f>2*(F4*F5)/(F4+F5)</f>
        <v>0.53131156729656837</v>
      </c>
    </row>
    <row r="4" spans="1:8" x14ac:dyDescent="0.2">
      <c r="A4" s="15" t="s">
        <v>1</v>
      </c>
      <c r="B4" s="2">
        <v>0</v>
      </c>
      <c r="C4" s="3">
        <v>21203</v>
      </c>
      <c r="D4" s="4">
        <v>5204</v>
      </c>
      <c r="F4" s="9">
        <f>1-D6</f>
        <v>0.37180106228874943</v>
      </c>
    </row>
    <row r="5" spans="1:8" x14ac:dyDescent="0.2">
      <c r="A5" s="15"/>
      <c r="B5" s="2">
        <v>1</v>
      </c>
      <c r="C5" s="4">
        <v>1583</v>
      </c>
      <c r="D5" s="3">
        <v>3080</v>
      </c>
      <c r="F5" s="9">
        <f>1-C6</f>
        <v>0.93052751689633983</v>
      </c>
    </row>
    <row r="6" spans="1:8" x14ac:dyDescent="0.2">
      <c r="C6" s="1">
        <f>C5/SUM(C4:C5)</f>
        <v>6.9472483103660138E-2</v>
      </c>
      <c r="D6" s="1">
        <f>D4/SUM(D4:D5)</f>
        <v>0.62819893771125057</v>
      </c>
      <c r="E6" s="1">
        <f>(C5+D4)/SUM(C4:D5)</f>
        <v>0.2184422272288381</v>
      </c>
      <c r="F6" t="s">
        <v>2</v>
      </c>
    </row>
    <row r="7" spans="1:8" x14ac:dyDescent="0.2">
      <c r="C7" t="s">
        <v>5</v>
      </c>
      <c r="D7" t="s">
        <v>4</v>
      </c>
      <c r="E7" s="9">
        <f>1-E6</f>
        <v>0.7815577727711619</v>
      </c>
      <c r="H7" s="11"/>
    </row>
    <row r="9" spans="1:8" x14ac:dyDescent="0.2">
      <c r="A9" s="13" t="s">
        <v>8</v>
      </c>
      <c r="B9" s="13"/>
      <c r="C9" s="13"/>
      <c r="D9" s="13"/>
    </row>
    <row r="10" spans="1:8" x14ac:dyDescent="0.2">
      <c r="A10" s="5"/>
      <c r="B10" s="6"/>
      <c r="C10" s="14" t="s">
        <v>0</v>
      </c>
      <c r="D10" s="14"/>
    </row>
    <row r="11" spans="1:8" x14ac:dyDescent="0.2">
      <c r="A11" s="7"/>
      <c r="B11" s="8"/>
      <c r="C11" s="2">
        <v>0</v>
      </c>
      <c r="D11" s="2">
        <v>1</v>
      </c>
    </row>
    <row r="12" spans="1:8" x14ac:dyDescent="0.2">
      <c r="A12" s="15" t="s">
        <v>1</v>
      </c>
      <c r="B12" s="2">
        <v>0</v>
      </c>
      <c r="C12" s="3">
        <v>850</v>
      </c>
      <c r="D12" s="4">
        <v>197</v>
      </c>
      <c r="F12">
        <f>SUM(C12:D13)</f>
        <v>1158</v>
      </c>
    </row>
    <row r="13" spans="1:8" x14ac:dyDescent="0.2">
      <c r="A13" s="15"/>
      <c r="B13" s="2">
        <v>1</v>
      </c>
      <c r="C13" s="4">
        <v>49</v>
      </c>
      <c r="D13" s="3">
        <v>62</v>
      </c>
    </row>
    <row r="14" spans="1:8" x14ac:dyDescent="0.2">
      <c r="C14" s="1">
        <f>C13/SUM(C12:C13)</f>
        <v>5.4505005561735265E-2</v>
      </c>
      <c r="D14" s="1">
        <f>D12/SUM(D12:D13)</f>
        <v>0.76061776061776065</v>
      </c>
      <c r="E14" s="1">
        <f>(C13+D12)/SUM(C12:D13)</f>
        <v>0.21243523316062177</v>
      </c>
      <c r="F14" t="s">
        <v>2</v>
      </c>
    </row>
    <row r="15" spans="1:8" x14ac:dyDescent="0.2">
      <c r="C15" t="s">
        <v>5</v>
      </c>
      <c r="D15" t="s">
        <v>4</v>
      </c>
      <c r="E15" s="9">
        <f>1-E14</f>
        <v>0.78756476683937826</v>
      </c>
    </row>
    <row r="17" spans="3:4" x14ac:dyDescent="0.2">
      <c r="C17">
        <f>SUM(C12:C13)</f>
        <v>899</v>
      </c>
      <c r="D17">
        <f>SUM(D12:D13)</f>
        <v>259</v>
      </c>
    </row>
  </sheetData>
  <mergeCells count="6">
    <mergeCell ref="A12:A13"/>
    <mergeCell ref="A1:D1"/>
    <mergeCell ref="C2:D2"/>
    <mergeCell ref="A4:A5"/>
    <mergeCell ref="A9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Tree</vt:lpstr>
      <vt:lpstr>OLS</vt:lpstr>
      <vt:lpstr>RandomForest</vt:lpstr>
      <vt:lpstr>xGboost</vt:lpstr>
      <vt:lpstr>CatBoost</vt:lpstr>
      <vt:lpstr>Lasso</vt:lpstr>
      <vt:lpstr>Logit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Amor</dc:creator>
  <cp:lastModifiedBy>Matt Amor</cp:lastModifiedBy>
  <dcterms:created xsi:type="dcterms:W3CDTF">2026-04-21T19:42:39Z</dcterms:created>
  <dcterms:modified xsi:type="dcterms:W3CDTF">2026-04-26T19:29:09Z</dcterms:modified>
</cp:coreProperties>
</file>